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N:\PDN ESTRUCTURA\3. FORMATOS\3. CAPITAL HUMANO\"/>
    </mc:Choice>
  </mc:AlternateContent>
  <xr:revisionPtr revIDLastSave="0" documentId="13_ncr:1_{CEDEB0F6-A266-476B-82F6-E2B78E676F50}" xr6:coauthVersionLast="47" xr6:coauthVersionMax="47" xr10:uidLastSave="{00000000-0000-0000-0000-000000000000}"/>
  <workbookProtection workbookAlgorithmName="SHA-512" workbookHashValue="pSnboBFZUINVRX2PZZ7nJ4YBU/GRI6N5ix5jJUFJJVCmx/TGfukQCGIgfSjd8O+c3VZt414CVQrwhRvoqgcgFQ==" workbookSaltValue="wB9VhB6MWxDTaynJGsxXnw==" workbookSpinCount="100000" lockStructure="1"/>
  <bookViews>
    <workbookView xWindow="-120" yWindow="-120" windowWidth="20730" windowHeight="11040" xr2:uid="{00000000-000D-0000-FFFF-FFFF00000000}"/>
  </bookViews>
  <sheets>
    <sheet name="FEB-MAR_2026" sheetId="7" r:id="rId1"/>
    <sheet name="BD OK" sheetId="11" state="hidden" r:id="rId2"/>
  </sheets>
  <definedNames>
    <definedName name="AREA" localSheetId="0">#REF!</definedName>
    <definedName name="_xlnm.Print_Area" localSheetId="0">'FEB-MAR_2026'!$A$1:$AE$74</definedName>
    <definedName name="AREASSS" localSheetId="0">#REF!</definedName>
    <definedName name="AREASSS">#REF!</definedName>
    <definedName name="AYF">'BD OK'!$AG$2:$AG$32</definedName>
    <definedName name="BANCOS" localSheetId="0">#REF!</definedName>
    <definedName name="BANCOS">#REF!</definedName>
    <definedName name="CADM">'BD OK'!$O$2:$O$10</definedName>
    <definedName name="CAH">#REF!</definedName>
    <definedName name="CAPITAL">'BD OK'!$AP$2:$AP$9</definedName>
    <definedName name="CDC">'BD OK'!$AD$2:$AD$17</definedName>
    <definedName name="CE">#REF!</definedName>
    <definedName name="CEXTRA">'BD OK'!$AY$2:$AY$7</definedName>
    <definedName name="COB">'BD OK'!$AI$2:$AJ$17+'BD OK'!$AI$1:$AJ$1</definedName>
    <definedName name="COMA">'BD OK'!$X$2:$X$14</definedName>
    <definedName name="COMB">'BD OK'!$AA$2:$AA$12</definedName>
    <definedName name="CONTA">#REF!</definedName>
    <definedName name="CONTABILIDAD">'BD OK'!$AJ$2:$AJ$8</definedName>
    <definedName name="CONTRALORIA">'BD OK'!$AM$2:$AM$8</definedName>
    <definedName name="CONTRALORÍA">#REF!</definedName>
    <definedName name="CUENTAS">'BD OK'!$U$2:$U$3</definedName>
    <definedName name="DEPARTAMENTOS">'BD OK'!$D$2:$F$19</definedName>
    <definedName name="DG">'BD OK'!$I$2:$I$7</definedName>
    <definedName name="DGA">'BD OK'!$L$2:$L$8</definedName>
    <definedName name="DGG" localSheetId="0">#REF!</definedName>
    <definedName name="DGG">#REF!</definedName>
    <definedName name="INTENDENCIA">'BD OK'!$BH$2:$BH$7</definedName>
    <definedName name="JURIDICO">#REF!</definedName>
    <definedName name="JURÍDICO">'BD OK'!$R$2:$R$8</definedName>
    <definedName name="MARK">'BD OK'!$BE$2:$BE$4</definedName>
    <definedName name="NOR">#REF!</definedName>
    <definedName name="NORMATIVIDAD">'BD OK'!$AS$2:$AS$4</definedName>
    <definedName name="PA" localSheetId="0">'FEB-MAR_2026'!$H$11</definedName>
    <definedName name="PA">'BD OK'!$D$2:$F$32</definedName>
    <definedName name="PAA" localSheetId="0">'FEB-MAR_2026'!$P$11</definedName>
    <definedName name="PAA">#REF!</definedName>
    <definedName name="SERV">'BD OK'!$BB$2:$BB$3</definedName>
    <definedName name="SIS">#REF!</definedName>
    <definedName name="SISTEMAS">'BD OK'!$AV$2:$AV$23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7" l="1"/>
  <c r="V50" i="7" l="1"/>
  <c r="T50" i="7"/>
  <c r="N50" i="7"/>
  <c r="A44" i="7" l="1"/>
  <c r="A39" i="7"/>
  <c r="A40" i="7"/>
  <c r="A41" i="7"/>
  <c r="A42" i="7"/>
  <c r="A43" i="7"/>
  <c r="A45" i="7"/>
  <c r="A37" i="7"/>
  <c r="A38" i="7"/>
  <c r="A46" i="7"/>
  <c r="A36" i="7"/>
  <c r="A35" i="7"/>
  <c r="A25" i="7"/>
  <c r="AB50" i="7"/>
  <c r="Z50" i="7"/>
  <c r="X50" i="7"/>
  <c r="A18" i="7"/>
  <c r="A19" i="7"/>
  <c r="A20" i="7"/>
  <c r="A21" i="7"/>
  <c r="A22" i="7"/>
  <c r="A23" i="7"/>
  <c r="A24" i="7"/>
  <c r="A26" i="7"/>
  <c r="A27" i="7"/>
  <c r="A28" i="7"/>
  <c r="A29" i="7"/>
  <c r="A30" i="7"/>
  <c r="A31" i="7"/>
  <c r="A32" i="7"/>
  <c r="A33" i="7"/>
  <c r="A34" i="7"/>
  <c r="A17" i="7"/>
  <c r="AD50" i="7" l="1"/>
  <c r="X11" i="7"/>
  <c r="R50" i="7" l="1"/>
  <c r="P5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AYF" description="Conexión a la consulta 'AYF' en el libro." type="5" refreshedVersion="0" background="1">
    <dbPr connection="Provider=Microsoft.Mashup.OleDb.1;Data Source=$Workbook$;Location=AYF;Extended Properties=&quot;&quot;" command="SELECT * FROM [AYF]"/>
  </connection>
</connections>
</file>

<file path=xl/sharedStrings.xml><?xml version="1.0" encoding="utf-8"?>
<sst xmlns="http://schemas.openxmlformats.org/spreadsheetml/2006/main" count="473" uniqueCount="238">
  <si>
    <t>PROGRAMACIÓN DE LA JORNADA LABORAL EN DÍA VIERNES.</t>
  </si>
  <si>
    <t>FECHA DE EMISIÓN</t>
  </si>
  <si>
    <t>FECHA DE ACTUALIZACIÓN</t>
  </si>
  <si>
    <t>CÓDIGO DEL DOCUMENTO</t>
  </si>
  <si>
    <t>VERSIÓN</t>
  </si>
  <si>
    <t>MARZO 2023</t>
  </si>
  <si>
    <t>ÁREA O DEPARTAMENTO</t>
  </si>
  <si>
    <t>AÑO</t>
  </si>
  <si>
    <t>BIMESTRE</t>
  </si>
  <si>
    <t>DE</t>
  </si>
  <si>
    <t>A</t>
  </si>
  <si>
    <t>TITULAR DEL ÁREA</t>
  </si>
  <si>
    <t>Num.</t>
  </si>
  <si>
    <t>R</t>
  </si>
  <si>
    <t>N</t>
  </si>
  <si>
    <t>VIERNES</t>
  </si>
  <si>
    <t>Nombre del colaborador</t>
  </si>
  <si>
    <t>ORTEGA VERGARA MARIA GABRIELA</t>
  </si>
  <si>
    <t>MARTINEZ CONTRERAS JUAN FRANCISCO</t>
  </si>
  <si>
    <t>HERRERA NOGUEZ MAURICIO ALEJANDRO</t>
  </si>
  <si>
    <t>ARCOS RAMIREZ ALFREDO</t>
  </si>
  <si>
    <t>SIERRA LOPEZ ARACELI</t>
  </si>
  <si>
    <t>INFANTE HERNANDEZ KARI</t>
  </si>
  <si>
    <t>ALVAREZ LUNA PATRICIA PALOMA</t>
  </si>
  <si>
    <t>PEREZ ACEVEDO SANDRA</t>
  </si>
  <si>
    <t>MARTINEZ HERNANDEZ LUIS FERNANDO</t>
  </si>
  <si>
    <t>GARCIA MANGIN GAMMELTOFT CARLOS</t>
  </si>
  <si>
    <t>CANO CASTELLANOS ASTRID YENNY</t>
  </si>
  <si>
    <t>NOMBRE Y FIRMA DEL TITULAR DEL ÁREA</t>
  </si>
  <si>
    <t xml:space="preserve">A CONTINUACIÓN ENLISTE A LOS RESPONSABLES QUE SE QUEDARÁN A CARGO DEL ÁREA  EN JORNADA DE GUARDIA Y MARQUE CON UNA "X" </t>
  </si>
  <si>
    <t>Responsable a cargo de la jornada de guardia</t>
  </si>
  <si>
    <t>COMERCIAL A</t>
  </si>
  <si>
    <t>COMERCIAL B</t>
  </si>
  <si>
    <t>DIRECCIÓN GENERAL</t>
  </si>
  <si>
    <t>DIRECCIÓN GENERAL ADJUNTA</t>
  </si>
  <si>
    <t>F-ADM-CAH-PER-21</t>
  </si>
  <si>
    <t>ADMINISTRACIÓN Y FINANZAS</t>
  </si>
  <si>
    <t>CRECIMIENTO Y DESARROLLO C</t>
  </si>
  <si>
    <t>HUERTA LUCIO MARTIN NICOLAS</t>
  </si>
  <si>
    <t>RUIZ LUNA MARIELA</t>
  </si>
  <si>
    <t>MEDINA SALAS ARTURO</t>
  </si>
  <si>
    <t>GALVAN ROSAS GRACIANO</t>
  </si>
  <si>
    <t>ACEVEDO ROSALES ANABEL</t>
  </si>
  <si>
    <t>MUÑIZ CAMPOS JUAN CARLOS</t>
  </si>
  <si>
    <t>MORALES BOBADILLA GERARDO BENITO</t>
  </si>
  <si>
    <t>ESTRADA ESTRELLA ISRAEL ALONSO</t>
  </si>
  <si>
    <t>TREJO VELA TANIA LUCRECIA</t>
  </si>
  <si>
    <t>SOLIS CUADRA SERGIO</t>
  </si>
  <si>
    <t>BALBUENA RAMOS ALFONSO</t>
  </si>
  <si>
    <t>JURÍDICO</t>
  </si>
  <si>
    <t>DIAZ LOPEZ LIZETTA</t>
  </si>
  <si>
    <t>NEGRETE MENDOZA KATHIA SHERESADA</t>
  </si>
  <si>
    <t>PALACIOS AGUIRRE MARCO ANTONIO</t>
  </si>
  <si>
    <t>MONTAÑO OLVERA YHAZZIEL</t>
  </si>
  <si>
    <t>SANTIAGO VARGAS VIRIDIANA</t>
  </si>
  <si>
    <t>VALLADARES MALDONADO HECTOR</t>
  </si>
  <si>
    <t>CUENTAS ESPECIALES</t>
  </si>
  <si>
    <t>RODRIGUEZ LEMUS ACENED</t>
  </si>
  <si>
    <t>DE CORCUERA PAYRO JOSE CARLOS</t>
  </si>
  <si>
    <t>ARROYO RODRIGUEZ PEDRO PABLO</t>
  </si>
  <si>
    <t>HERNANDEZ CASTILLO JUAN PABLO EPIFANIO</t>
  </si>
  <si>
    <t>SANABRIA RUIZ ELSA YADIRA</t>
  </si>
  <si>
    <t>CARRASCO MEDEL MARIA</t>
  </si>
  <si>
    <t>HERRERA LOPEZ YAZMIN</t>
  </si>
  <si>
    <t>GARCILAZO GONZALEZ ARTEMISA HAYDEE</t>
  </si>
  <si>
    <t>RUIZ CORREA CELIA</t>
  </si>
  <si>
    <t>MONROY MARQUEZ SONIA</t>
  </si>
  <si>
    <t>BARRANCO HERNANDEZ SAUL</t>
  </si>
  <si>
    <t>GODINEZ REYES ALEJANDRO</t>
  </si>
  <si>
    <t>GARCIA MENDOZA MIGUEL</t>
  </si>
  <si>
    <t>GARCIA FERNANDEZ JORGE OCTAVIO</t>
  </si>
  <si>
    <t>ESTRADA VEGA ITZEL AMEYALLI</t>
  </si>
  <si>
    <t>DIAZ SANCHEZ ERIKA LIZBETH</t>
  </si>
  <si>
    <t>CRECIMIENTO Y DESARROLLO COMERCIAL</t>
  </si>
  <si>
    <t>PONCE DEL BOSQUE JUAN IGNACIO</t>
  </si>
  <si>
    <t>COLIN MEJIA JUAN</t>
  </si>
  <si>
    <t>VAZQUEZ JUAREZ ALEJANDRA</t>
  </si>
  <si>
    <t>RAMIREZ DIAZ JUAN DE DIOS</t>
  </si>
  <si>
    <t>BUSTOS CARVAJAL DALID ESTEBAN</t>
  </si>
  <si>
    <t>QUITERIO PALACIOS JOSE FRANCISCO</t>
  </si>
  <si>
    <t>MARTINEZ MARTINEZ JULIO CESAR</t>
  </si>
  <si>
    <t>MARTINEZ TREJO MARTHA ELENA</t>
  </si>
  <si>
    <t>MOTA JARDINES CLAUDIA IVONNE</t>
  </si>
  <si>
    <t>GONZALEZ PADILLA MARIA ESPERANZA</t>
  </si>
  <si>
    <t>GACHUZ FERRER MARIANA</t>
  </si>
  <si>
    <t>GIL ALVARADO MILTON</t>
  </si>
  <si>
    <t>LOPEZ SOLEDAD JUAN MANUEL</t>
  </si>
  <si>
    <t>HERRERA AGUIRRE ELIZABETH</t>
  </si>
  <si>
    <t>TORNELL CORTEZANO STEPHANIA</t>
  </si>
  <si>
    <t>RINCON AGUIRRE ELI NOEL</t>
  </si>
  <si>
    <t>MIRANDA AGUIRRE GUADALUPE TANIA</t>
  </si>
  <si>
    <t>MARTINEZ HERNANDEZ IVAN</t>
  </si>
  <si>
    <t>MARQUEZ SANCHEZ MARCO ANTONIO</t>
  </si>
  <si>
    <t>ONOFRE ORTIZ ALEXIS</t>
  </si>
  <si>
    <t>CAMACHO VERA ALMA GABRIELA</t>
  </si>
  <si>
    <t>ORTIZ GALVAN EVELYN DIANA</t>
  </si>
  <si>
    <t>ALVAREZ GONZALEZ JOSE ALONSO</t>
  </si>
  <si>
    <t>CONTABILIDAD</t>
  </si>
  <si>
    <t>MATA HERRERA ADRIANA</t>
  </si>
  <si>
    <t>RAMIREZ MENDOZA MARIA DEL ROCIO</t>
  </si>
  <si>
    <t>ARROYO RUIZ ANA LILIA</t>
  </si>
  <si>
    <t>SEGURA FLORES ALEJANDRA</t>
  </si>
  <si>
    <t>CONTRALORÍA</t>
  </si>
  <si>
    <t>ROJAS SOSA IRENE</t>
  </si>
  <si>
    <t>GONZALEZ GARCIA GUSTAVO</t>
  </si>
  <si>
    <t>SANCHEZ RAMIREZ GABRIELA MONSERRAT</t>
  </si>
  <si>
    <t>BARRIGUETE HERNANDEZ MARCO ANTONIO</t>
  </si>
  <si>
    <t>JURIDICO</t>
  </si>
  <si>
    <t>CONTRALORIA</t>
  </si>
  <si>
    <t>COMB</t>
  </si>
  <si>
    <t xml:space="preserve"> </t>
  </si>
  <si>
    <t>DG</t>
  </si>
  <si>
    <t>CE</t>
  </si>
  <si>
    <t>DGA</t>
  </si>
  <si>
    <t>COMA</t>
  </si>
  <si>
    <t>AYF</t>
  </si>
  <si>
    <t>CONTA</t>
  </si>
  <si>
    <t>CDC</t>
  </si>
  <si>
    <t>HERNANDEZ RAYA JAIME</t>
  </si>
  <si>
    <t>PEREZ GONZALEZ ROGELIO</t>
  </si>
  <si>
    <t>PEREZ TORRES HECTOR AARON</t>
  </si>
  <si>
    <t>SANCHEZ MENCHACA PABLO CESAR</t>
  </si>
  <si>
    <t>PEREZ MARTINEZ OSCAR</t>
  </si>
  <si>
    <t>CRUZ BORJAS FRANCISCA</t>
  </si>
  <si>
    <t>RIOS MARTINEZ SUSANA</t>
  </si>
  <si>
    <t>CASTELLANOS XOLOCOTZI LUCIA</t>
  </si>
  <si>
    <t>HERNANDEZ MATURANO ARNULFO</t>
  </si>
  <si>
    <t>NEGRETE CAMPA JOSE ANTONIO</t>
  </si>
  <si>
    <t>GONZALEZ DE JESUS LUIS GERARDO</t>
  </si>
  <si>
    <t>BEJARANO CRUZ ARACELI</t>
  </si>
  <si>
    <t>GARCIA MANI BLANCA ESTELA</t>
  </si>
  <si>
    <t>CAMACHO QUEZADA MARIA VERONICA</t>
  </si>
  <si>
    <t>ORTIZ PIÑA VICTOR HUGO</t>
  </si>
  <si>
    <t>CRUZ MARTINEZ GABRIELA</t>
  </si>
  <si>
    <t>RAMOS BENHUMEA ALISON</t>
  </si>
  <si>
    <t>GOMEZ RANGEL RITA EMILIA</t>
  </si>
  <si>
    <t>ESPINOSA TAPIA MARIANO</t>
  </si>
  <si>
    <t>JAIME RAMIREZ DEYANIRA</t>
  </si>
  <si>
    <t>MORALES VALENCIA KEVIN URIEL</t>
  </si>
  <si>
    <t>HERNANDEZ CIRIGO NAHU</t>
  </si>
  <si>
    <t>RAMIREZ RAMOS EVELIN AIDEE</t>
  </si>
  <si>
    <t>HERNANDEZ MORENO ANA BERENICE</t>
  </si>
  <si>
    <t>DORANTES ALCANTARA PABLO CESAR</t>
  </si>
  <si>
    <t>SISTEMAS</t>
  </si>
  <si>
    <t>SIS</t>
  </si>
  <si>
    <t>CAPITAL HUMANO</t>
  </si>
  <si>
    <t>CAH</t>
  </si>
  <si>
    <t>NORMATIVIDAD</t>
  </si>
  <si>
    <t>NOR</t>
  </si>
  <si>
    <t>CATÁLOGO DE EMPLEADOS</t>
  </si>
  <si>
    <t>JULIO 2023</t>
  </si>
  <si>
    <t>01</t>
  </si>
  <si>
    <r>
      <rPr>
        <b/>
        <sz val="11"/>
        <color theme="0"/>
        <rFont val="Calibri"/>
        <family val="2"/>
        <scheme val="minor"/>
      </rPr>
      <t xml:space="preserve">INSTRUCCIONES: </t>
    </r>
    <r>
      <rPr>
        <sz val="11"/>
        <color theme="0"/>
        <rFont val="Calibri"/>
        <family val="2"/>
        <scheme val="minor"/>
      </rPr>
      <t xml:space="preserve">  Colocar en los espacios en blanco, el número y nombre completo del colaborador indicando en las columnas con una </t>
    </r>
    <r>
      <rPr>
        <b/>
        <sz val="14"/>
        <color theme="0"/>
        <rFont val="Calibri"/>
        <family val="2"/>
        <scheme val="minor"/>
      </rPr>
      <t>"X"</t>
    </r>
    <r>
      <rPr>
        <sz val="11"/>
        <color theme="0"/>
        <rFont val="Calibri"/>
        <family val="2"/>
        <scheme val="minor"/>
      </rPr>
      <t xml:space="preserve">, el tipo de jornada que deberá de cumplir en los días indicados. </t>
    </r>
    <r>
      <rPr>
        <b/>
        <sz val="11"/>
        <color theme="0"/>
        <rFont val="Calibri"/>
        <family val="2"/>
        <scheme val="minor"/>
      </rPr>
      <t xml:space="preserve">  </t>
    </r>
    <r>
      <rPr>
        <b/>
        <sz val="14"/>
        <color theme="0"/>
        <rFont val="Calibri"/>
        <family val="2"/>
        <scheme val="minor"/>
      </rPr>
      <t>R</t>
    </r>
    <r>
      <rPr>
        <sz val="12"/>
        <color theme="0"/>
        <rFont val="Calibri"/>
        <family val="2"/>
        <scheme val="minor"/>
      </rPr>
      <t xml:space="preserve"> (JornadaReducida)</t>
    </r>
    <r>
      <rPr>
        <b/>
        <sz val="12"/>
        <color theme="0"/>
        <rFont val="Calibri"/>
        <family val="2"/>
        <scheme val="minor"/>
      </rPr>
      <t xml:space="preserve"> </t>
    </r>
    <r>
      <rPr>
        <b/>
        <sz val="14"/>
        <color theme="0"/>
        <rFont val="Calibri"/>
        <family val="2"/>
        <scheme val="minor"/>
      </rPr>
      <t>N</t>
    </r>
    <r>
      <rPr>
        <sz val="12"/>
        <color theme="0"/>
        <rFont val="Calibri"/>
        <family val="2"/>
        <scheme val="minor"/>
      </rPr>
      <t xml:space="preserve"> (Jornada Normal).</t>
    </r>
  </si>
  <si>
    <t>FRAGOSO GUTIERREZ ROGELIO ENRIQUE</t>
  </si>
  <si>
    <t>MARTINEZ GONZALEZ OSCAR DANIEL</t>
  </si>
  <si>
    <t>REYES CORTEZ ABIGAIL</t>
  </si>
  <si>
    <t>SERVICIOS GENERALES</t>
  </si>
  <si>
    <t>SERV</t>
  </si>
  <si>
    <t>ALVARADO JUAREZ MARCO AURELIO</t>
  </si>
  <si>
    <t>OROPEZA OLVERA JOSEBETH KARINA</t>
  </si>
  <si>
    <t>LOPEZ TREJO YULIZA LIZET</t>
  </si>
  <si>
    <t>BETO PEREZ IVAN ALEJANDRO</t>
  </si>
  <si>
    <t>AGUILAR MORALES RICARDO</t>
  </si>
  <si>
    <t>AGUILAR VEGA JONATHAN</t>
  </si>
  <si>
    <t>CASTRO HERNANDEZ ALEXIS ARMANDO</t>
  </si>
  <si>
    <t>PORTELA GUZMAN ERIC DE JESUS</t>
  </si>
  <si>
    <t>MARTINEZ HERNANDEZ DIANA</t>
  </si>
  <si>
    <t>SUVERZA RAMIREZ MAGDIEL</t>
  </si>
  <si>
    <t>MENDEZ CHAVEZ WILLIAM ISMAEL</t>
  </si>
  <si>
    <t>LOPEZ SOLIS CRISTIAN DE JESUS</t>
  </si>
  <si>
    <t>HERNANDEZ ESPINOSA KAREN NOEMI</t>
  </si>
  <si>
    <t>SALAZAR LEVY IVAN</t>
  </si>
  <si>
    <t>RIVERA RAMIREZ HUGO ALEJANDRO</t>
  </si>
  <si>
    <t>MEDINA MARTINEZ ERENDIRA</t>
  </si>
  <si>
    <t>SOTO ARISTA KEVIN YATZED</t>
  </si>
  <si>
    <t>MARTINEZ ARRIETA BEATRIZ</t>
  </si>
  <si>
    <t>GAMBOA MARTINEZ MARIO EDUARDO</t>
  </si>
  <si>
    <t>CAMARGO SOTO LUIS EFREN</t>
  </si>
  <si>
    <t>CURIEL OLVERA CHRISTIAN ERICK</t>
  </si>
  <si>
    <t>INTENDENCIA</t>
  </si>
  <si>
    <t>VAZQUEZ RIOS LUIS ANGEL</t>
  </si>
  <si>
    <t>NAVA GALICIA MELCHOR</t>
  </si>
  <si>
    <t>MARKETING</t>
  </si>
  <si>
    <t>MARK</t>
  </si>
  <si>
    <t xml:space="preserve">DEL CARMEN GARCIA YOLANDA </t>
  </si>
  <si>
    <t>DEL CARMEN GARCIA YOLANDA</t>
  </si>
  <si>
    <t>PEÑA CRUZ KAREN AYSHA</t>
  </si>
  <si>
    <t>RUEDA GONZALEZ LUIS ARMANDO</t>
  </si>
  <si>
    <t>DE JESUS ANGELES ARELY JAZMIN</t>
  </si>
  <si>
    <t>SANTOS CORDERO XIMENA STEPHANY</t>
  </si>
  <si>
    <t>GONZALEZ VAZQUEZ JHONATHAN</t>
  </si>
  <si>
    <t>YARZA ORTEGA CRISTIAN EDUARDO</t>
  </si>
  <si>
    <t>DIAZ LOPEZ LAURA LUZ</t>
  </si>
  <si>
    <t>YARZA ORTEGACRISTIAN EDUARDO</t>
  </si>
  <si>
    <t>GUILLEN GARFIAS ALVARO EDUARDO</t>
  </si>
  <si>
    <t xml:space="preserve">GUILLEN GARFIAS ALVARO EDUARDO </t>
  </si>
  <si>
    <t>MONJARAZ CHAVEZ JOSE LUIS</t>
  </si>
  <si>
    <t>GARCIA CRUZ MONICA</t>
  </si>
  <si>
    <t>RODRIGUEZ MARTINEZ CHRISTIAN IVAN</t>
  </si>
  <si>
    <t>FLORES JIMENEZ PAULO CESAR</t>
  </si>
  <si>
    <t>OLGUIN MUNGUIA JOEL ALEJANDRO</t>
  </si>
  <si>
    <t>RODRIGUEZ NARVAEZ JIMENA ESNAIRA</t>
  </si>
  <si>
    <t>CRUZ GONZALEZ MARCO URIEL</t>
  </si>
  <si>
    <t>NUÑEZ VALDEZ JAIR ARTURO</t>
  </si>
  <si>
    <t>GONZALEZ RUIZ ABIGAIL EDITH</t>
  </si>
  <si>
    <t>VELASCO LEON VANESSA</t>
  </si>
  <si>
    <t>VELASCO LEON VANESA</t>
  </si>
  <si>
    <t>SALGUERO PAZ MARTHA ARISBETH</t>
  </si>
  <si>
    <t>CRUZ VALDEZ MARIELA</t>
  </si>
  <si>
    <t>VARGAS NAVA AYRTON PAOLO YAEL</t>
  </si>
  <si>
    <t>ALMARAZ RODRIGUEZ FRANCISCO XAVIER JOVANNY</t>
  </si>
  <si>
    <t>LEVY CORDOBA ARMANDO DENNIS</t>
  </si>
  <si>
    <t>CANO CARRERA JOSE JOVANI</t>
  </si>
  <si>
    <t>BAUTISTA GONZALEZ ISAAC JAIR</t>
  </si>
  <si>
    <t>ESPINOSA MACIN HUGO</t>
  </si>
  <si>
    <t>GUERRERO GARDUÑO ANGEL IVAN</t>
  </si>
  <si>
    <t>HUERTA HERNANDEZ DENNIS CAROLINA</t>
  </si>
  <si>
    <t>HUERTA SANCHEZ JUAN PABLO</t>
  </si>
  <si>
    <t>ISLAS JIMENEZ OLIVIA</t>
  </si>
  <si>
    <t>MEJIA GUERRERO JUAN MANUEL</t>
  </si>
  <si>
    <t>RIOS CHAVARRIA JOSUE</t>
  </si>
  <si>
    <t>ROJAS MENDOZA MARIA DE JESUS</t>
  </si>
  <si>
    <t>VARGAS GOMEZ FABIOLA</t>
  </si>
  <si>
    <t>VELAZQUEZ RODRIGUEZ FERNANDO</t>
  </si>
  <si>
    <t>COBRANZA ADMINISTRATIVA</t>
  </si>
  <si>
    <t>COBRANZA EXTRAJUDICIAL</t>
  </si>
  <si>
    <t>NUÑEZ VALDES JAIR ARTURO</t>
  </si>
  <si>
    <t>CADM</t>
  </si>
  <si>
    <t>CEXTRA</t>
  </si>
  <si>
    <t xml:space="preserve">MARZO </t>
  </si>
  <si>
    <t>ABRIL</t>
  </si>
  <si>
    <t>JIMENEZ RODRIGUEZ ANGEL</t>
  </si>
  <si>
    <t>TREJO SERVIN ROBERTO CARLOS</t>
  </si>
  <si>
    <t>HEREDIA MONTAÑO AGUSTÍN</t>
  </si>
  <si>
    <t>CASTAÑEDA PULIDO DIEGO ARMANDO</t>
  </si>
  <si>
    <t>GRESS VELAZQUEZ DAVID</t>
  </si>
  <si>
    <t>PLATA MEDINA LUZ AIDE</t>
  </si>
  <si>
    <t>CHAVEZ HERNANDEZ JOSE ISMAEL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</si>
</sst>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Protection="1">
      <protection hidden="1"/>
    </xf>
    <xf numFmtId="0" fontId="0" fillId="3" borderId="0" xfId="0" applyFill="1" applyProtection="1"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6" fillId="0" borderId="14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3" borderId="0" xfId="0" applyFill="1"/>
    <xf numFmtId="0" fontId="2" fillId="3" borderId="0" xfId="0" applyFont="1" applyFill="1"/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0" fillId="3" borderId="25" xfId="0" applyFill="1" applyBorder="1" applyProtection="1">
      <protection hidden="1"/>
    </xf>
    <xf numFmtId="0" fontId="0" fillId="3" borderId="26" xfId="0" applyFill="1" applyBorder="1" applyProtection="1">
      <protection hidden="1"/>
    </xf>
    <xf numFmtId="0" fontId="0" fillId="3" borderId="27" xfId="0" applyFill="1" applyBorder="1" applyProtection="1">
      <protection hidden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/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wrapText="1"/>
    </xf>
    <xf numFmtId="0" fontId="6" fillId="0" borderId="30" xfId="0" applyFont="1" applyBorder="1" applyAlignment="1" applyProtection="1">
      <alignment horizontal="center" vertical="center"/>
      <protection locked="0"/>
    </xf>
    <xf numFmtId="0" fontId="6" fillId="0" borderId="31" xfId="0" applyFont="1" applyBorder="1" applyAlignment="1" applyProtection="1">
      <alignment horizontal="center" vertical="center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49" fontId="6" fillId="0" borderId="2" xfId="0" applyNumberFormat="1" applyFont="1" applyBorder="1" applyAlignment="1" applyProtection="1">
      <alignment horizontal="center" vertical="center"/>
      <protection locked="0"/>
    </xf>
    <xf numFmtId="49" fontId="6" fillId="0" borderId="3" xfId="0" applyNumberFormat="1" applyFont="1" applyBorder="1" applyAlignment="1" applyProtection="1">
      <alignment horizontal="center" vertical="center"/>
      <protection locked="0"/>
    </xf>
    <xf numFmtId="49" fontId="6" fillId="0" borderId="4" xfId="0" applyNumberFormat="1" applyFont="1" applyBorder="1" applyAlignment="1" applyProtection="1">
      <alignment horizontal="center" vertical="center"/>
      <protection locked="0"/>
    </xf>
    <xf numFmtId="0" fontId="10" fillId="0" borderId="20" xfId="0" applyFont="1" applyBorder="1" applyAlignment="1" applyProtection="1">
      <alignment horizontal="center"/>
      <protection locked="0"/>
    </xf>
    <xf numFmtId="0" fontId="10" fillId="0" borderId="2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left" vertical="top" wrapText="1"/>
      <protection hidden="1"/>
    </xf>
    <xf numFmtId="0" fontId="2" fillId="3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hidden="1"/>
    </xf>
    <xf numFmtId="0" fontId="2" fillId="3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wrapText="1"/>
    </xf>
    <xf numFmtId="15" fontId="7" fillId="4" borderId="10" xfId="0" applyNumberFormat="1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7" fillId="4" borderId="8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7" fillId="4" borderId="34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10" fillId="0" borderId="28" xfId="0" applyFont="1" applyBorder="1" applyAlignment="1" applyProtection="1">
      <alignment horizontal="center"/>
      <protection locked="0"/>
    </xf>
    <xf numFmtId="0" fontId="10" fillId="0" borderId="29" xfId="0" applyFont="1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/>
      <protection locked="0"/>
    </xf>
    <xf numFmtId="0" fontId="5" fillId="2" borderId="24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15" fontId="7" fillId="4" borderId="2" xfId="0" applyNumberFormat="1" applyFont="1" applyFill="1" applyBorder="1" applyAlignment="1">
      <alignment horizontal="center"/>
    </xf>
    <xf numFmtId="0" fontId="0" fillId="3" borderId="5" xfId="0" applyFill="1" applyBorder="1" applyAlignment="1" applyProtection="1">
      <alignment horizontal="center"/>
      <protection hidden="1"/>
    </xf>
    <xf numFmtId="0" fontId="1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161926</xdr:colOff>
      <xdr:row>0</xdr:row>
      <xdr:rowOff>57150</xdr:rowOff>
    </xdr:from>
    <xdr:to>
      <xdr:col>4</xdr:col>
      <xdr:colOff>134732</xdr:colOff>
      <xdr:row>4</xdr:row>
      <xdr:rowOff>9525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57150"/>
          <a:ext cx="1223756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AR74"/>
  <sheetViews>
    <sheetView tabSelected="1" view="pageBreakPreview" zoomScaleNormal="100" zoomScaleSheetLayoutView="100" workbookViewId="0">
      <selection activeCell="C17" sqref="C17:M17"/>
    </sheetView>
  </sheetViews>
  <sheetFormatPr baseColWidth="10" defaultColWidth="11.42578125" defaultRowHeight="15" x14ac:dyDescent="0.25"/>
  <cols>
    <col min="1" max="13" width="4.7109375" style="1" customWidth="1"/>
    <col min="14" max="14" width="5.28515625" style="1" customWidth="1"/>
    <col min="15" max="15" width="4.7109375" style="1" customWidth="1"/>
    <col min="16" max="16" width="5.28515625" style="1" customWidth="1"/>
    <col min="17" max="17" width="4.7109375" style="1" customWidth="1"/>
    <col min="18" max="18" width="5.28515625" style="1" customWidth="1"/>
    <col min="19" max="19" width="4.7109375" style="1" customWidth="1"/>
    <col min="20" max="20" width="5.85546875" style="1" customWidth="1"/>
    <col min="21" max="31" width="4.7109375" style="1" customWidth="1"/>
    <col min="32" max="48" width="3.7109375" style="1" customWidth="1"/>
    <col min="49" max="16384" width="11.42578125" style="1"/>
  </cols>
  <sheetData>
    <row r="1" spans="1:44" ht="15" customHeight="1" x14ac:dyDescent="0.25">
      <c r="A1" s="53"/>
      <c r="B1" s="53"/>
      <c r="C1" s="53"/>
      <c r="D1" s="53"/>
      <c r="E1" s="53"/>
      <c r="F1" s="53"/>
      <c r="G1" s="54" t="s">
        <v>0</v>
      </c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</row>
    <row r="2" spans="1:44" ht="15" customHeight="1" x14ac:dyDescent="0.25">
      <c r="A2" s="53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</row>
    <row r="3" spans="1:44" ht="15" customHeight="1" x14ac:dyDescent="0.25">
      <c r="A3" s="53"/>
      <c r="B3" s="53"/>
      <c r="C3" s="53"/>
      <c r="D3" s="53"/>
      <c r="E3" s="53"/>
      <c r="F3" s="53"/>
      <c r="G3" s="55" t="s">
        <v>1</v>
      </c>
      <c r="H3" s="55"/>
      <c r="I3" s="55"/>
      <c r="J3" s="55"/>
      <c r="K3" s="55"/>
      <c r="L3" s="55"/>
      <c r="M3" s="55"/>
      <c r="N3" s="55" t="s">
        <v>5</v>
      </c>
      <c r="O3" s="55"/>
      <c r="P3" s="55"/>
      <c r="Q3" s="55"/>
      <c r="R3" s="55"/>
      <c r="S3" s="55"/>
      <c r="T3" s="55" t="s">
        <v>3</v>
      </c>
      <c r="U3" s="55"/>
      <c r="V3" s="55"/>
      <c r="W3" s="55"/>
      <c r="X3" s="55"/>
      <c r="Y3" s="55"/>
      <c r="Z3" s="55" t="s">
        <v>35</v>
      </c>
      <c r="AA3" s="55"/>
      <c r="AB3" s="55"/>
      <c r="AC3" s="55"/>
      <c r="AD3" s="55"/>
      <c r="AE3" s="55"/>
    </row>
    <row r="4" spans="1:44" ht="15" customHeight="1" x14ac:dyDescent="0.25">
      <c r="A4" s="53"/>
      <c r="B4" s="53"/>
      <c r="C4" s="53"/>
      <c r="D4" s="53"/>
      <c r="E4" s="53"/>
      <c r="F4" s="53"/>
      <c r="G4" s="55" t="s">
        <v>2</v>
      </c>
      <c r="H4" s="55"/>
      <c r="I4" s="55"/>
      <c r="J4" s="55"/>
      <c r="K4" s="55"/>
      <c r="L4" s="55"/>
      <c r="M4" s="55"/>
      <c r="N4" s="55" t="s">
        <v>150</v>
      </c>
      <c r="O4" s="55"/>
      <c r="P4" s="55"/>
      <c r="Q4" s="55"/>
      <c r="R4" s="55"/>
      <c r="S4" s="55"/>
      <c r="T4" s="55" t="s">
        <v>4</v>
      </c>
      <c r="U4" s="55"/>
      <c r="V4" s="55"/>
      <c r="W4" s="55"/>
      <c r="X4" s="55"/>
      <c r="Y4" s="55"/>
      <c r="Z4" s="55" t="s">
        <v>151</v>
      </c>
      <c r="AA4" s="55"/>
      <c r="AB4" s="55"/>
      <c r="AC4" s="55"/>
      <c r="AD4" s="55"/>
      <c r="AE4" s="55"/>
    </row>
    <row r="5" spans="1:44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  <row r="6" spans="1:44" x14ac:dyDescent="0.25">
      <c r="A6" s="45" t="s">
        <v>152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</row>
    <row r="7" spans="1:44" ht="21" customHeight="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</row>
    <row r="8" spans="1:44" ht="3.7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1:44" x14ac:dyDescent="0.25">
      <c r="A9" s="46" t="s">
        <v>7</v>
      </c>
      <c r="B9" s="46"/>
      <c r="C9" s="46"/>
      <c r="D9" s="46"/>
      <c r="E9" s="46"/>
      <c r="F9" s="47">
        <v>2026</v>
      </c>
      <c r="G9" s="47"/>
      <c r="H9" s="47"/>
      <c r="I9" s="47"/>
      <c r="J9" s="14"/>
      <c r="K9" s="14"/>
      <c r="L9" s="15" t="s">
        <v>8</v>
      </c>
      <c r="M9" s="14"/>
      <c r="N9" s="14"/>
      <c r="O9" s="15" t="s">
        <v>9</v>
      </c>
      <c r="P9" s="47" t="s">
        <v>229</v>
      </c>
      <c r="Q9" s="47"/>
      <c r="R9" s="47"/>
      <c r="S9" s="47"/>
      <c r="T9" s="47"/>
      <c r="U9" s="47"/>
      <c r="V9" s="14"/>
      <c r="W9" s="15" t="s">
        <v>10</v>
      </c>
      <c r="X9" s="47" t="s">
        <v>230</v>
      </c>
      <c r="Y9" s="47"/>
      <c r="Z9" s="47"/>
      <c r="AA9" s="47"/>
      <c r="AB9" s="47"/>
      <c r="AC9" s="47"/>
      <c r="AD9" s="47"/>
      <c r="AE9" s="2"/>
    </row>
    <row r="10" spans="1:44" ht="6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1:44" x14ac:dyDescent="0.25">
      <c r="A11" s="48" t="s">
        <v>6</v>
      </c>
      <c r="B11" s="48"/>
      <c r="C11" s="48"/>
      <c r="D11" s="48"/>
      <c r="E11" s="48"/>
      <c r="F11" s="48"/>
      <c r="G11" s="48"/>
      <c r="H11" s="49" t="s">
        <v>37</v>
      </c>
      <c r="I11" s="49"/>
      <c r="J11" s="49"/>
      <c r="K11" s="49"/>
      <c r="L11" s="49"/>
      <c r="M11" s="49"/>
      <c r="N11" s="49"/>
      <c r="O11" s="49"/>
      <c r="P11" s="50" t="str">
        <f>IF(PA="DIRECCIÓN GENERAL","DG",IF(PA="DIRECCIÓN GENERAL ADJUNTA","DGA",IF(PA="COMERCIAL A","COMA",IF(PA="COMERCIAL B","COMB",IF(PA="CRECIMIENTO Y DESARROLLO C","CDC",IF(PA="ADMINISTRACIÓN Y FINANZAS","AYF",IF(PA="COBRANZA","COBRANZA",IF(PA="JURÍDICO","JURÍDICO",IF(PA="CUENTAS ESPECIALES","CUENTAS",IF(PA="CONTABILIDAD","CONTABILIDAD",IF(PA="CONTRALORIA","CONTRALORIA",IF(PA="SISTEMAS","SISTEMAS",IF(PA="CAPITAL HUMANO","CAPITAL",IF(PA="NORMATIVIDAD","NORMATIVIDAD",IF(PA="DIRECCIÓN COMERCIAL EMPRESARIAL","EMPRESARIAL",IF(PA="MARKETING","MARK",IF(PA="INTENDENCIA","INTENDENCIA",IF(PA="COBRANZA ADMINISTRATIVA","CADM",IF(PA="COBRANZA EXTRAJUDICIAL","CEXTRA",IF(PA="SERVICIOS GENERALES","SERV",""))))))))))))))))))))</f>
        <v>CDC</v>
      </c>
      <c r="Q11" s="50"/>
      <c r="R11" s="50"/>
      <c r="S11" s="51" t="s">
        <v>11</v>
      </c>
      <c r="T11" s="51"/>
      <c r="U11" s="51"/>
      <c r="V11" s="51"/>
      <c r="W11" s="51"/>
      <c r="X11" s="52" t="str">
        <f>IF(PA=0,"",VLOOKUP(PA,'BD OK'!E2:F32,2,0))</f>
        <v>PONCE DEL BOSQUE JUAN IGNACIO</v>
      </c>
      <c r="Y11" s="52"/>
      <c r="Z11" s="52"/>
      <c r="AA11" s="52"/>
      <c r="AB11" s="52"/>
      <c r="AC11" s="52"/>
      <c r="AD11" s="52"/>
    </row>
    <row r="12" spans="1:44" ht="12.75" customHeight="1" x14ac:dyDescent="0.25">
      <c r="A12" s="3"/>
      <c r="B12" s="3"/>
      <c r="C12" s="3"/>
      <c r="D12" s="3"/>
      <c r="E12" s="3"/>
      <c r="F12" s="3"/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3"/>
      <c r="T12" s="3"/>
      <c r="U12" s="3"/>
      <c r="V12" s="3"/>
      <c r="W12" s="3"/>
      <c r="X12" s="10"/>
      <c r="Y12" s="10"/>
      <c r="Z12" s="10"/>
      <c r="AA12" s="10"/>
      <c r="AB12" s="10"/>
      <c r="AC12" s="10"/>
      <c r="AD12" s="10"/>
      <c r="AE12" s="10"/>
    </row>
    <row r="13" spans="1:44" ht="10.5" customHeight="1" thickBo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</row>
    <row r="14" spans="1:44" x14ac:dyDescent="0.25">
      <c r="A14" s="61" t="s">
        <v>12</v>
      </c>
      <c r="B14" s="62"/>
      <c r="C14" s="61" t="s">
        <v>16</v>
      </c>
      <c r="D14" s="67"/>
      <c r="E14" s="67"/>
      <c r="F14" s="67"/>
      <c r="G14" s="67"/>
      <c r="H14" s="67"/>
      <c r="I14" s="67"/>
      <c r="J14" s="67"/>
      <c r="K14" s="67"/>
      <c r="L14" s="67"/>
      <c r="M14" s="68"/>
      <c r="N14" s="59" t="s">
        <v>15</v>
      </c>
      <c r="O14" s="60"/>
      <c r="P14" s="59" t="s">
        <v>15</v>
      </c>
      <c r="Q14" s="60"/>
      <c r="R14" s="59" t="s">
        <v>15</v>
      </c>
      <c r="S14" s="60"/>
      <c r="T14" s="59" t="s">
        <v>15</v>
      </c>
      <c r="U14" s="60"/>
      <c r="V14" s="59" t="s">
        <v>15</v>
      </c>
      <c r="W14" s="60"/>
      <c r="X14" s="59" t="s">
        <v>15</v>
      </c>
      <c r="Y14" s="60"/>
      <c r="Z14" s="59" t="s">
        <v>15</v>
      </c>
      <c r="AA14" s="60"/>
      <c r="AB14" s="59" t="s">
        <v>15</v>
      </c>
      <c r="AC14" s="60"/>
      <c r="AD14" s="59" t="s">
        <v>15</v>
      </c>
      <c r="AE14" s="60"/>
      <c r="AO14" s="58"/>
      <c r="AP14" s="58"/>
      <c r="AQ14" s="58"/>
      <c r="AR14" s="58"/>
    </row>
    <row r="15" spans="1:44" x14ac:dyDescent="0.25">
      <c r="A15" s="63"/>
      <c r="B15" s="64"/>
      <c r="C15" s="63"/>
      <c r="D15" s="69"/>
      <c r="E15" s="69"/>
      <c r="F15" s="69"/>
      <c r="G15" s="69"/>
      <c r="H15" s="69"/>
      <c r="I15" s="69"/>
      <c r="J15" s="69"/>
      <c r="K15" s="69"/>
      <c r="L15" s="69"/>
      <c r="M15" s="70"/>
      <c r="N15" s="56">
        <v>46087</v>
      </c>
      <c r="O15" s="57"/>
      <c r="P15" s="56">
        <v>46094</v>
      </c>
      <c r="Q15" s="57"/>
      <c r="R15" s="56">
        <v>46101</v>
      </c>
      <c r="S15" s="57"/>
      <c r="T15" s="56">
        <v>46108</v>
      </c>
      <c r="U15" s="57"/>
      <c r="V15" s="56">
        <v>46115</v>
      </c>
      <c r="W15" s="57"/>
      <c r="X15" s="56">
        <v>46122</v>
      </c>
      <c r="Y15" s="57"/>
      <c r="Z15" s="56">
        <v>46129</v>
      </c>
      <c r="AA15" s="57"/>
      <c r="AB15" s="56">
        <v>46136</v>
      </c>
      <c r="AC15" s="57"/>
      <c r="AD15" s="56"/>
      <c r="AE15" s="57"/>
      <c r="AO15" s="58"/>
      <c r="AP15" s="58"/>
      <c r="AQ15" s="58"/>
      <c r="AR15" s="58"/>
    </row>
    <row r="16" spans="1:44" ht="16.5" thickBot="1" x14ac:dyDescent="0.3">
      <c r="A16" s="65"/>
      <c r="B16" s="66"/>
      <c r="C16" s="71"/>
      <c r="D16" s="72"/>
      <c r="E16" s="72"/>
      <c r="F16" s="72"/>
      <c r="G16" s="72"/>
      <c r="H16" s="72"/>
      <c r="I16" s="72"/>
      <c r="J16" s="72"/>
      <c r="K16" s="72"/>
      <c r="L16" s="72"/>
      <c r="M16" s="73"/>
      <c r="N16" s="16" t="s">
        <v>13</v>
      </c>
      <c r="O16" s="17" t="s">
        <v>14</v>
      </c>
      <c r="P16" s="16" t="s">
        <v>13</v>
      </c>
      <c r="Q16" s="17" t="s">
        <v>14</v>
      </c>
      <c r="R16" s="16" t="s">
        <v>13</v>
      </c>
      <c r="S16" s="17" t="s">
        <v>14</v>
      </c>
      <c r="T16" s="16" t="s">
        <v>13</v>
      </c>
      <c r="U16" s="17" t="s">
        <v>14</v>
      </c>
      <c r="V16" s="16" t="s">
        <v>13</v>
      </c>
      <c r="W16" s="17" t="s">
        <v>14</v>
      </c>
      <c r="X16" s="16" t="s">
        <v>13</v>
      </c>
      <c r="Y16" s="17" t="s">
        <v>14</v>
      </c>
      <c r="Z16" s="16" t="s">
        <v>13</v>
      </c>
      <c r="AA16" s="17" t="s">
        <v>14</v>
      </c>
      <c r="AB16" s="16" t="s">
        <v>13</v>
      </c>
      <c r="AC16" s="17" t="s">
        <v>14</v>
      </c>
      <c r="AD16" s="16" t="s">
        <v>13</v>
      </c>
      <c r="AE16" s="17" t="s">
        <v>14</v>
      </c>
      <c r="AO16" s="58"/>
      <c r="AP16" s="58"/>
      <c r="AQ16" s="58"/>
      <c r="AR16" s="58"/>
    </row>
    <row r="17" spans="1:31" ht="16.5" thickBot="1" x14ac:dyDescent="0.3">
      <c r="A17" s="38" t="e">
        <f>VLOOKUP(C17,'BD OK'!B2:C167,2,0)</f>
        <v>#N/A</v>
      </c>
      <c r="B17" s="39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31"/>
      <c r="O17" s="5"/>
      <c r="P17" s="4"/>
      <c r="Q17" s="5"/>
      <c r="R17" s="4"/>
      <c r="S17" s="5"/>
      <c r="T17" s="4"/>
      <c r="U17" s="5"/>
      <c r="V17" s="4"/>
      <c r="W17" s="5"/>
      <c r="X17" s="4"/>
      <c r="Y17" s="5"/>
      <c r="Z17" s="4"/>
      <c r="AA17" s="5"/>
      <c r="AB17" s="4"/>
      <c r="AC17" s="5"/>
      <c r="AD17" s="4"/>
      <c r="AE17" s="5"/>
    </row>
    <row r="18" spans="1:31" ht="16.5" thickBot="1" x14ac:dyDescent="0.3">
      <c r="A18" s="38" t="e">
        <f>VLOOKUP(C18,'BD OK'!B3:C205,2,0)</f>
        <v>#N/A</v>
      </c>
      <c r="B18" s="39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32"/>
      <c r="O18" s="7"/>
      <c r="P18" s="6"/>
      <c r="Q18" s="7"/>
      <c r="R18" s="6"/>
      <c r="S18" s="7"/>
      <c r="T18" s="6"/>
      <c r="U18" s="7"/>
      <c r="V18" s="6"/>
      <c r="W18" s="7"/>
      <c r="X18" s="6"/>
      <c r="Y18" s="7"/>
      <c r="Z18" s="6"/>
      <c r="AA18" s="7"/>
      <c r="AB18" s="6"/>
      <c r="AC18" s="7"/>
      <c r="AD18" s="6"/>
      <c r="AE18" s="7"/>
    </row>
    <row r="19" spans="1:31" ht="16.5" thickBot="1" x14ac:dyDescent="0.3">
      <c r="A19" s="38" t="e">
        <f>VLOOKUP(C19,'BD OK'!B4:C210,2,0)</f>
        <v>#N/A</v>
      </c>
      <c r="B19" s="39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32"/>
      <c r="O19" s="7"/>
      <c r="P19" s="6"/>
      <c r="Q19" s="7"/>
      <c r="R19" s="6"/>
      <c r="S19" s="7"/>
      <c r="T19" s="6"/>
      <c r="U19" s="7"/>
      <c r="V19" s="6"/>
      <c r="W19" s="7"/>
      <c r="X19" s="6"/>
      <c r="Y19" s="7"/>
      <c r="Z19" s="6"/>
      <c r="AA19" s="7"/>
      <c r="AB19" s="6"/>
      <c r="AC19" s="7"/>
      <c r="AD19" s="6"/>
      <c r="AE19" s="7"/>
    </row>
    <row r="20" spans="1:31" ht="16.5" thickBot="1" x14ac:dyDescent="0.3">
      <c r="A20" s="38" t="e">
        <f>VLOOKUP(C20,'BD OK'!B5:C211,2,0)</f>
        <v>#N/A</v>
      </c>
      <c r="B20" s="39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32"/>
      <c r="O20" s="7"/>
      <c r="P20" s="6"/>
      <c r="Q20" s="7"/>
      <c r="R20" s="6"/>
      <c r="S20" s="7"/>
      <c r="T20" s="6"/>
      <c r="U20" s="7"/>
      <c r="V20" s="6"/>
      <c r="W20" s="7"/>
      <c r="X20" s="6"/>
      <c r="Y20" s="7"/>
      <c r="Z20" s="6"/>
      <c r="AA20" s="7"/>
      <c r="AB20" s="6"/>
      <c r="AC20" s="7"/>
      <c r="AD20" s="6"/>
      <c r="AE20" s="7"/>
    </row>
    <row r="21" spans="1:31" ht="16.5" thickBot="1" x14ac:dyDescent="0.3">
      <c r="A21" s="38" t="e">
        <f>VLOOKUP(C21,'BD OK'!B6:C212,2,0)</f>
        <v>#N/A</v>
      </c>
      <c r="B21" s="39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32"/>
      <c r="O21" s="7"/>
      <c r="P21" s="6"/>
      <c r="Q21" s="7"/>
      <c r="R21" s="6"/>
      <c r="S21" s="7"/>
      <c r="T21" s="6"/>
      <c r="U21" s="7"/>
      <c r="V21" s="6"/>
      <c r="W21" s="7"/>
      <c r="X21" s="6"/>
      <c r="Y21" s="7"/>
      <c r="Z21" s="6"/>
      <c r="AA21" s="7"/>
      <c r="AB21" s="6"/>
      <c r="AC21" s="7"/>
      <c r="AD21" s="6"/>
      <c r="AE21" s="7"/>
    </row>
    <row r="22" spans="1:31" ht="16.5" thickBot="1" x14ac:dyDescent="0.3">
      <c r="A22" s="38" t="e">
        <f>VLOOKUP(C22,'BD OK'!B7:C213,2,0)</f>
        <v>#N/A</v>
      </c>
      <c r="B22" s="39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32"/>
      <c r="O22" s="7"/>
      <c r="P22" s="6"/>
      <c r="Q22" s="7"/>
      <c r="R22" s="6"/>
      <c r="S22" s="7"/>
      <c r="T22" s="6"/>
      <c r="U22" s="7"/>
      <c r="V22" s="6"/>
      <c r="W22" s="7"/>
      <c r="X22" s="6"/>
      <c r="Y22" s="7"/>
      <c r="Z22" s="6"/>
      <c r="AA22" s="7"/>
      <c r="AB22" s="6"/>
      <c r="AC22" s="7"/>
      <c r="AD22" s="6"/>
      <c r="AE22" s="7"/>
    </row>
    <row r="23" spans="1:31" ht="16.5" thickBot="1" x14ac:dyDescent="0.3">
      <c r="A23" s="38" t="e">
        <f>VLOOKUP(C23,'BD OK'!B8:C214,2,0)</f>
        <v>#N/A</v>
      </c>
      <c r="B23" s="39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32"/>
      <c r="O23" s="7"/>
      <c r="P23" s="6"/>
      <c r="Q23" s="7"/>
      <c r="R23" s="6"/>
      <c r="S23" s="7"/>
      <c r="T23" s="6"/>
      <c r="U23" s="7"/>
      <c r="V23" s="6"/>
      <c r="W23" s="7"/>
      <c r="X23" s="6"/>
      <c r="Y23" s="7"/>
      <c r="Z23" s="6"/>
      <c r="AA23" s="7"/>
      <c r="AB23" s="6"/>
      <c r="AC23" s="7"/>
      <c r="AD23" s="6"/>
      <c r="AE23" s="7"/>
    </row>
    <row r="24" spans="1:31" ht="16.5" thickBot="1" x14ac:dyDescent="0.3">
      <c r="A24" s="38" t="e">
        <f>VLOOKUP(C24,'BD OK'!B9:C215,2,0)</f>
        <v>#N/A</v>
      </c>
      <c r="B24" s="39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32"/>
      <c r="O24" s="7"/>
      <c r="P24" s="6"/>
      <c r="Q24" s="7"/>
      <c r="R24" s="6"/>
      <c r="S24" s="7"/>
      <c r="T24" s="6"/>
      <c r="U24" s="7"/>
      <c r="V24" s="6"/>
      <c r="W24" s="7"/>
      <c r="X24" s="6"/>
      <c r="Y24" s="7"/>
      <c r="Z24" s="6"/>
      <c r="AA24" s="7"/>
      <c r="AB24" s="6"/>
      <c r="AC24" s="7"/>
      <c r="AD24" s="6"/>
      <c r="AE24" s="7"/>
    </row>
    <row r="25" spans="1:31" ht="16.5" thickBot="1" x14ac:dyDescent="0.3">
      <c r="A25" s="38" t="e">
        <f>VLOOKUP(C25,'BD OK'!B9:C216,2,0)</f>
        <v>#N/A</v>
      </c>
      <c r="B25" s="39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32"/>
      <c r="O25" s="7"/>
      <c r="P25" s="6"/>
      <c r="Q25" s="7"/>
      <c r="R25" s="6"/>
      <c r="S25" s="7"/>
      <c r="T25" s="6"/>
      <c r="U25" s="7"/>
      <c r="V25" s="6"/>
      <c r="W25" s="7"/>
      <c r="X25" s="6"/>
      <c r="Y25" s="7"/>
      <c r="Z25" s="6"/>
      <c r="AA25" s="7"/>
      <c r="AB25" s="6"/>
      <c r="AC25" s="7"/>
      <c r="AD25" s="6"/>
      <c r="AE25" s="7"/>
    </row>
    <row r="26" spans="1:31" ht="16.5" thickBot="1" x14ac:dyDescent="0.3">
      <c r="A26" s="38" t="e">
        <f>VLOOKUP(C26,'BD OK'!B10:C217,2,0)</f>
        <v>#N/A</v>
      </c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32"/>
      <c r="O26" s="7"/>
      <c r="P26" s="6"/>
      <c r="Q26" s="7"/>
      <c r="R26" s="6"/>
      <c r="S26" s="7"/>
      <c r="T26" s="6"/>
      <c r="U26" s="7"/>
      <c r="V26" s="6"/>
      <c r="W26" s="7"/>
      <c r="X26" s="6"/>
      <c r="Y26" s="7"/>
      <c r="Z26" s="6"/>
      <c r="AA26" s="7"/>
      <c r="AB26" s="6"/>
      <c r="AC26" s="7"/>
      <c r="AD26" s="6"/>
      <c r="AE26" s="7"/>
    </row>
    <row r="27" spans="1:31" ht="16.5" thickBot="1" x14ac:dyDescent="0.3">
      <c r="A27" s="38" t="e">
        <f>VLOOKUP(C27,'BD OK'!B11:C218,2,0)</f>
        <v>#N/A</v>
      </c>
      <c r="B27" s="39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32"/>
      <c r="O27" s="7"/>
      <c r="P27" s="6"/>
      <c r="Q27" s="7"/>
      <c r="R27" s="6"/>
      <c r="S27" s="7"/>
      <c r="T27" s="6"/>
      <c r="U27" s="7"/>
      <c r="V27" s="6"/>
      <c r="W27" s="7"/>
      <c r="X27" s="6"/>
      <c r="Y27" s="7"/>
      <c r="Z27" s="6"/>
      <c r="AA27" s="7"/>
      <c r="AB27" s="6"/>
      <c r="AC27" s="7"/>
      <c r="AD27" s="6"/>
      <c r="AE27" s="7"/>
    </row>
    <row r="28" spans="1:31" ht="16.5" thickBot="1" x14ac:dyDescent="0.3">
      <c r="A28" s="38" t="e">
        <f>VLOOKUP(C28,'BD OK'!B12:C219,2,0)</f>
        <v>#N/A</v>
      </c>
      <c r="B28" s="39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32"/>
      <c r="O28" s="7"/>
      <c r="P28" s="6"/>
      <c r="Q28" s="7"/>
      <c r="R28" s="6"/>
      <c r="S28" s="7"/>
      <c r="T28" s="6"/>
      <c r="U28" s="7"/>
      <c r="V28" s="6"/>
      <c r="W28" s="7"/>
      <c r="X28" s="6"/>
      <c r="Y28" s="7"/>
      <c r="Z28" s="6"/>
      <c r="AA28" s="7"/>
      <c r="AB28" s="6"/>
      <c r="AC28" s="7"/>
      <c r="AD28" s="6"/>
      <c r="AE28" s="7"/>
    </row>
    <row r="29" spans="1:31" ht="16.5" thickBot="1" x14ac:dyDescent="0.3">
      <c r="A29" s="38" t="e">
        <f>VLOOKUP(C29,'BD OK'!B13:C220,2,0)</f>
        <v>#N/A</v>
      </c>
      <c r="B29" s="39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32"/>
      <c r="O29" s="7"/>
      <c r="P29" s="6"/>
      <c r="Q29" s="7"/>
      <c r="R29" s="6"/>
      <c r="S29" s="7"/>
      <c r="T29" s="6"/>
      <c r="U29" s="7"/>
      <c r="V29" s="6"/>
      <c r="W29" s="7"/>
      <c r="X29" s="6"/>
      <c r="Y29" s="7"/>
      <c r="Z29" s="6"/>
      <c r="AA29" s="7"/>
      <c r="AB29" s="6"/>
      <c r="AC29" s="7"/>
      <c r="AD29" s="6"/>
      <c r="AE29" s="7"/>
    </row>
    <row r="30" spans="1:31" ht="16.5" thickBot="1" x14ac:dyDescent="0.3">
      <c r="A30" s="38" t="e">
        <f>VLOOKUP(C30,'BD OK'!B14:C221,2,0)</f>
        <v>#N/A</v>
      </c>
      <c r="B30" s="39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32"/>
      <c r="O30" s="7"/>
      <c r="P30" s="6"/>
      <c r="Q30" s="7"/>
      <c r="R30" s="6"/>
      <c r="S30" s="7"/>
      <c r="T30" s="6"/>
      <c r="U30" s="7"/>
      <c r="V30" s="6"/>
      <c r="W30" s="7"/>
      <c r="X30" s="6"/>
      <c r="Y30" s="7"/>
      <c r="Z30" s="6"/>
      <c r="AA30" s="7"/>
      <c r="AB30" s="6"/>
      <c r="AC30" s="7"/>
      <c r="AD30" s="6"/>
      <c r="AE30" s="7"/>
    </row>
    <row r="31" spans="1:31" ht="16.5" thickBot="1" x14ac:dyDescent="0.3">
      <c r="A31" s="38" t="e">
        <f>VLOOKUP(C31,'BD OK'!B16:C222,2,0)</f>
        <v>#N/A</v>
      </c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32"/>
      <c r="O31" s="7"/>
      <c r="P31" s="6"/>
      <c r="Q31" s="7"/>
      <c r="R31" s="6"/>
      <c r="S31" s="7"/>
      <c r="T31" s="6"/>
      <c r="U31" s="7"/>
      <c r="V31" s="6"/>
      <c r="W31" s="7"/>
      <c r="X31" s="6"/>
      <c r="Y31" s="7"/>
      <c r="Z31" s="6"/>
      <c r="AA31" s="7"/>
      <c r="AB31" s="6"/>
      <c r="AC31" s="7"/>
      <c r="AD31" s="6"/>
      <c r="AE31" s="7"/>
    </row>
    <row r="32" spans="1:31" ht="16.5" thickBot="1" x14ac:dyDescent="0.3">
      <c r="A32" s="38" t="e">
        <f>VLOOKUP(C32,'BD OK'!B16:C223,2,0)</f>
        <v>#N/A</v>
      </c>
      <c r="B32" s="39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32"/>
      <c r="O32" s="7"/>
      <c r="P32" s="6"/>
      <c r="Q32" s="7"/>
      <c r="R32" s="6"/>
      <c r="S32" s="7"/>
      <c r="T32" s="6"/>
      <c r="U32" s="7"/>
      <c r="V32" s="6"/>
      <c r="W32" s="7"/>
      <c r="X32" s="6"/>
      <c r="Y32" s="7"/>
      <c r="Z32" s="6"/>
      <c r="AA32" s="7"/>
      <c r="AB32" s="6"/>
      <c r="AC32" s="7"/>
      <c r="AD32" s="6"/>
      <c r="AE32" s="7"/>
    </row>
    <row r="33" spans="1:31" ht="16.5" thickBot="1" x14ac:dyDescent="0.3">
      <c r="A33" s="38" t="e">
        <f>VLOOKUP(C33,'BD OK'!B17:C224,2,0)</f>
        <v>#N/A</v>
      </c>
      <c r="B33" s="39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32"/>
      <c r="O33" s="7"/>
      <c r="P33" s="6"/>
      <c r="Q33" s="7"/>
      <c r="R33" s="6"/>
      <c r="S33" s="7"/>
      <c r="T33" s="6"/>
      <c r="U33" s="7"/>
      <c r="V33" s="6"/>
      <c r="W33" s="7"/>
      <c r="X33" s="6"/>
      <c r="Y33" s="7"/>
      <c r="Z33" s="6"/>
      <c r="AA33" s="7"/>
      <c r="AB33" s="6"/>
      <c r="AC33" s="7"/>
      <c r="AD33" s="6"/>
      <c r="AE33" s="7"/>
    </row>
    <row r="34" spans="1:31" ht="16.5" thickBot="1" x14ac:dyDescent="0.3">
      <c r="A34" s="38" t="e">
        <f>VLOOKUP(C34,'BD OK'!B18:C225,2,0)</f>
        <v>#N/A</v>
      </c>
      <c r="B34" s="39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32"/>
      <c r="O34" s="7"/>
      <c r="P34" s="6"/>
      <c r="Q34" s="7"/>
      <c r="R34" s="6"/>
      <c r="S34" s="7"/>
      <c r="T34" s="6"/>
      <c r="U34" s="7"/>
      <c r="V34" s="6"/>
      <c r="W34" s="7"/>
      <c r="X34" s="6"/>
      <c r="Y34" s="7"/>
      <c r="Z34" s="6"/>
      <c r="AA34" s="7"/>
      <c r="AB34" s="6"/>
      <c r="AC34" s="7"/>
      <c r="AD34" s="6"/>
      <c r="AE34" s="7"/>
    </row>
    <row r="35" spans="1:31" ht="16.5" thickBot="1" x14ac:dyDescent="0.3">
      <c r="A35" s="38" t="e">
        <f>VLOOKUP(C35,'BD OK'!B19:C226,2,0)</f>
        <v>#N/A</v>
      </c>
      <c r="B35" s="39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33"/>
      <c r="O35" s="19"/>
      <c r="P35" s="18"/>
      <c r="Q35" s="19"/>
      <c r="R35" s="18"/>
      <c r="S35" s="19"/>
      <c r="T35" s="18"/>
      <c r="U35" s="19"/>
      <c r="V35" s="18"/>
      <c r="W35" s="19"/>
      <c r="X35" s="18"/>
      <c r="Y35" s="19"/>
      <c r="Z35" s="18"/>
      <c r="AA35" s="19"/>
      <c r="AB35" s="18"/>
      <c r="AC35" s="19"/>
      <c r="AD35" s="18"/>
      <c r="AE35" s="19"/>
    </row>
    <row r="36" spans="1:31" ht="16.5" thickBot="1" x14ac:dyDescent="0.3">
      <c r="A36" s="38" t="e">
        <f>VLOOKUP(C36,'BD OK'!B20:C227,2,0)</f>
        <v>#N/A</v>
      </c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33"/>
      <c r="O36" s="19"/>
      <c r="P36" s="18"/>
      <c r="Q36" s="19"/>
      <c r="R36" s="18"/>
      <c r="S36" s="19"/>
      <c r="T36" s="18"/>
      <c r="U36" s="19"/>
      <c r="V36" s="18"/>
      <c r="W36" s="19"/>
      <c r="X36" s="18"/>
      <c r="Y36" s="19"/>
      <c r="Z36" s="18"/>
      <c r="AA36" s="19"/>
      <c r="AB36" s="18"/>
      <c r="AC36" s="19"/>
      <c r="AD36" s="18"/>
      <c r="AE36" s="19"/>
    </row>
    <row r="37" spans="1:31" ht="16.5" thickBot="1" x14ac:dyDescent="0.3">
      <c r="A37" s="38" t="e">
        <f>VLOOKUP(C37,'BD OK'!B21:C228,2,0)</f>
        <v>#N/A</v>
      </c>
      <c r="B37" s="39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33"/>
      <c r="O37" s="19"/>
      <c r="P37" s="18"/>
      <c r="Q37" s="19"/>
      <c r="R37" s="18"/>
      <c r="S37" s="19"/>
      <c r="T37" s="18"/>
      <c r="U37" s="19"/>
      <c r="V37" s="18"/>
      <c r="W37" s="19"/>
      <c r="X37" s="18"/>
      <c r="Y37" s="19"/>
      <c r="Z37" s="18"/>
      <c r="AA37" s="19"/>
      <c r="AB37" s="18"/>
      <c r="AC37" s="19"/>
      <c r="AD37" s="18"/>
      <c r="AE37" s="19"/>
    </row>
    <row r="38" spans="1:31" ht="16.5" thickBot="1" x14ac:dyDescent="0.3">
      <c r="A38" s="38" t="e">
        <f>VLOOKUP(C38,'BD OK'!B21:C228,2,0)</f>
        <v>#N/A</v>
      </c>
      <c r="B38" s="39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33"/>
      <c r="O38" s="19"/>
      <c r="P38" s="18"/>
      <c r="Q38" s="19"/>
      <c r="R38" s="18"/>
      <c r="S38" s="19"/>
      <c r="T38" s="18"/>
      <c r="U38" s="19"/>
      <c r="V38" s="18"/>
      <c r="W38" s="19"/>
      <c r="X38" s="18"/>
      <c r="Y38" s="19"/>
      <c r="Z38" s="18"/>
      <c r="AA38" s="19"/>
      <c r="AB38" s="18"/>
      <c r="AC38" s="19"/>
      <c r="AD38" s="18"/>
      <c r="AE38" s="19"/>
    </row>
    <row r="39" spans="1:31" ht="16.5" thickBot="1" x14ac:dyDescent="0.3">
      <c r="A39" s="38" t="e">
        <f>VLOOKUP(C39,'BD OK'!B22:C229,2,0)</f>
        <v>#N/A</v>
      </c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33"/>
      <c r="O39" s="19"/>
      <c r="P39" s="18"/>
      <c r="Q39" s="19"/>
      <c r="R39" s="18"/>
      <c r="S39" s="19"/>
      <c r="T39" s="18"/>
      <c r="U39" s="19"/>
      <c r="V39" s="18"/>
      <c r="W39" s="19"/>
      <c r="X39" s="18"/>
      <c r="Y39" s="19"/>
      <c r="Z39" s="18"/>
      <c r="AA39" s="19"/>
      <c r="AB39" s="18"/>
      <c r="AC39" s="19"/>
      <c r="AD39" s="18"/>
      <c r="AE39" s="19"/>
    </row>
    <row r="40" spans="1:31" ht="16.5" thickBot="1" x14ac:dyDescent="0.3">
      <c r="A40" s="38" t="e">
        <f>VLOOKUP(C40,'BD OK'!B22:C229,2,0)</f>
        <v>#N/A</v>
      </c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33"/>
      <c r="O40" s="19"/>
      <c r="P40" s="18"/>
      <c r="Q40" s="19"/>
      <c r="R40" s="18"/>
      <c r="S40" s="19"/>
      <c r="T40" s="18"/>
      <c r="U40" s="19"/>
      <c r="V40" s="18"/>
      <c r="W40" s="19"/>
      <c r="X40" s="18"/>
      <c r="Y40" s="19"/>
      <c r="Z40" s="18"/>
      <c r="AA40" s="19"/>
      <c r="AB40" s="18"/>
      <c r="AC40" s="19"/>
      <c r="AD40" s="18"/>
      <c r="AE40" s="19"/>
    </row>
    <row r="41" spans="1:31" ht="16.5" thickBot="1" x14ac:dyDescent="0.3">
      <c r="A41" s="38" t="e">
        <f>VLOOKUP(C41,'BD OK'!B22:C229,2,0)</f>
        <v>#N/A</v>
      </c>
      <c r="B41" s="39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33"/>
      <c r="O41" s="19"/>
      <c r="P41" s="18"/>
      <c r="Q41" s="19"/>
      <c r="R41" s="18"/>
      <c r="S41" s="19"/>
      <c r="T41" s="18"/>
      <c r="U41" s="19"/>
      <c r="V41" s="18"/>
      <c r="W41" s="19"/>
      <c r="X41" s="18"/>
      <c r="Y41" s="19"/>
      <c r="Z41" s="18"/>
      <c r="AA41" s="19"/>
      <c r="AB41" s="18"/>
      <c r="AC41" s="19"/>
      <c r="AD41" s="18"/>
      <c r="AE41" s="19"/>
    </row>
    <row r="42" spans="1:31" ht="16.5" thickBot="1" x14ac:dyDescent="0.3">
      <c r="A42" s="38" t="e">
        <f>VLOOKUP(C42,'BD OK'!B22:C229,2,0)</f>
        <v>#N/A</v>
      </c>
      <c r="B42" s="39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33"/>
      <c r="O42" s="19"/>
      <c r="P42" s="18"/>
      <c r="Q42" s="19"/>
      <c r="R42" s="18"/>
      <c r="S42" s="19"/>
      <c r="T42" s="18"/>
      <c r="U42" s="19"/>
      <c r="V42" s="18"/>
      <c r="W42" s="19"/>
      <c r="X42" s="18"/>
      <c r="Y42" s="19"/>
      <c r="Z42" s="18"/>
      <c r="AA42" s="19"/>
      <c r="AB42" s="18"/>
      <c r="AC42" s="19"/>
      <c r="AD42" s="18"/>
      <c r="AE42" s="19"/>
    </row>
    <row r="43" spans="1:31" ht="16.5" thickBot="1" x14ac:dyDescent="0.3">
      <c r="A43" s="38" t="e">
        <f>VLOOKUP(C43,'BD OK'!B22:C229,2,0)</f>
        <v>#N/A</v>
      </c>
      <c r="B43" s="39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33"/>
      <c r="O43" s="19"/>
      <c r="P43" s="18"/>
      <c r="Q43" s="19"/>
      <c r="R43" s="18"/>
      <c r="S43" s="19"/>
      <c r="T43" s="18"/>
      <c r="U43" s="19"/>
      <c r="V43" s="18"/>
      <c r="W43" s="19"/>
      <c r="X43" s="18"/>
      <c r="Y43" s="19"/>
      <c r="Z43" s="18"/>
      <c r="AA43" s="19"/>
      <c r="AB43" s="18"/>
      <c r="AC43" s="19"/>
      <c r="AD43" s="18"/>
      <c r="AE43" s="19"/>
    </row>
    <row r="44" spans="1:31" ht="16.5" thickBot="1" x14ac:dyDescent="0.3">
      <c r="A44" s="38" t="e">
        <f>VLOOKUP(C44,'BD OK'!B24:C230,2,0)</f>
        <v>#N/A</v>
      </c>
      <c r="B44" s="39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33"/>
      <c r="O44" s="19"/>
      <c r="P44" s="18"/>
      <c r="Q44" s="19"/>
      <c r="R44" s="18"/>
      <c r="S44" s="19"/>
      <c r="T44" s="18"/>
      <c r="U44" s="19"/>
      <c r="V44" s="18"/>
      <c r="W44" s="19"/>
      <c r="X44" s="18"/>
      <c r="Y44" s="19"/>
      <c r="Z44" s="18"/>
      <c r="AA44" s="19"/>
      <c r="AB44" s="18"/>
      <c r="AC44" s="19"/>
      <c r="AD44" s="18"/>
      <c r="AE44" s="19"/>
    </row>
    <row r="45" spans="1:31" ht="16.5" thickBot="1" x14ac:dyDescent="0.3">
      <c r="A45" s="38" t="e">
        <f>VLOOKUP(C45,'BD OK'!B22:C229,2,0)</f>
        <v>#N/A</v>
      </c>
      <c r="B45" s="39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33"/>
      <c r="O45" s="19"/>
      <c r="P45" s="18"/>
      <c r="Q45" s="19"/>
      <c r="R45" s="18"/>
      <c r="S45" s="19"/>
      <c r="T45" s="18"/>
      <c r="U45" s="19"/>
      <c r="V45" s="18"/>
      <c r="W45" s="19"/>
      <c r="X45" s="18"/>
      <c r="Y45" s="19"/>
      <c r="Z45" s="18"/>
      <c r="AA45" s="19"/>
      <c r="AB45" s="18"/>
      <c r="AC45" s="19"/>
      <c r="AD45" s="18"/>
      <c r="AE45" s="19"/>
    </row>
    <row r="46" spans="1:31" ht="16.5" thickBot="1" x14ac:dyDescent="0.3">
      <c r="A46" s="74" t="e">
        <f>VLOOKUP(C46,'BD OK'!B21:C228,2,0)</f>
        <v>#N/A</v>
      </c>
      <c r="B46" s="75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34"/>
      <c r="O46" s="9"/>
      <c r="P46" s="8"/>
      <c r="Q46" s="9"/>
      <c r="R46" s="8"/>
      <c r="S46" s="9"/>
      <c r="T46" s="8"/>
      <c r="U46" s="9"/>
      <c r="V46" s="8"/>
      <c r="W46" s="9"/>
      <c r="X46" s="8"/>
      <c r="Y46" s="9"/>
      <c r="Z46" s="8"/>
      <c r="AA46" s="9"/>
      <c r="AB46" s="8"/>
      <c r="AC46" s="9"/>
      <c r="AD46" s="8"/>
      <c r="AE46" s="9"/>
    </row>
    <row r="47" spans="1:31" ht="18.75" customHeight="1" thickBot="1" x14ac:dyDescent="0.3">
      <c r="A47" s="20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2"/>
    </row>
    <row r="48" spans="1:31" ht="15.75" x14ac:dyDescent="0.25">
      <c r="A48" s="77" t="s">
        <v>29</v>
      </c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</row>
    <row r="49" spans="1:31" x14ac:dyDescent="0.25">
      <c r="A49" s="78" t="s">
        <v>30</v>
      </c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9" t="s">
        <v>15</v>
      </c>
      <c r="O49" s="79"/>
      <c r="P49" s="79" t="s">
        <v>15</v>
      </c>
      <c r="Q49" s="79"/>
      <c r="R49" s="79" t="s">
        <v>15</v>
      </c>
      <c r="S49" s="79"/>
      <c r="T49" s="79" t="s">
        <v>15</v>
      </c>
      <c r="U49" s="79"/>
      <c r="V49" s="79" t="s">
        <v>15</v>
      </c>
      <c r="W49" s="79"/>
      <c r="X49" s="79" t="s">
        <v>15</v>
      </c>
      <c r="Y49" s="79"/>
      <c r="Z49" s="79" t="s">
        <v>15</v>
      </c>
      <c r="AA49" s="79"/>
      <c r="AB49" s="79" t="s">
        <v>15</v>
      </c>
      <c r="AC49" s="79"/>
      <c r="AD49" s="79" t="s">
        <v>15</v>
      </c>
      <c r="AE49" s="79"/>
    </row>
    <row r="50" spans="1:31" x14ac:dyDescent="0.25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80">
        <f>N15</f>
        <v>46087</v>
      </c>
      <c r="O50" s="79"/>
      <c r="P50" s="80">
        <f>P15</f>
        <v>46094</v>
      </c>
      <c r="Q50" s="79"/>
      <c r="R50" s="80">
        <f t="shared" ref="R50" si="0">R15</f>
        <v>46101</v>
      </c>
      <c r="S50" s="79"/>
      <c r="T50" s="80">
        <f>T15</f>
        <v>46108</v>
      </c>
      <c r="U50" s="79"/>
      <c r="V50" s="80">
        <f>V15</f>
        <v>46115</v>
      </c>
      <c r="W50" s="79"/>
      <c r="X50" s="80">
        <f>X15</f>
        <v>46122</v>
      </c>
      <c r="Y50" s="79"/>
      <c r="Z50" s="56">
        <f>Z15</f>
        <v>46129</v>
      </c>
      <c r="AA50" s="57"/>
      <c r="AB50" s="56">
        <f>AB15</f>
        <v>46136</v>
      </c>
      <c r="AC50" s="57"/>
      <c r="AD50" s="80">
        <f>AD15</f>
        <v>0</v>
      </c>
      <c r="AE50" s="79"/>
    </row>
    <row r="51" spans="1:31" ht="15.75" x14ac:dyDescent="0.2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</row>
    <row r="52" spans="1:31" ht="15.75" x14ac:dyDescent="0.25">
      <c r="A52" s="42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4"/>
      <c r="N52" s="36"/>
      <c r="O52" s="37"/>
      <c r="P52" s="36"/>
      <c r="Q52" s="37"/>
      <c r="R52" s="36"/>
      <c r="S52" s="37"/>
      <c r="T52" s="36"/>
      <c r="U52" s="37"/>
      <c r="V52" s="36"/>
      <c r="W52" s="37"/>
      <c r="X52" s="36"/>
      <c r="Y52" s="37"/>
      <c r="Z52" s="36"/>
      <c r="AA52" s="37"/>
      <c r="AB52" s="36"/>
      <c r="AC52" s="37"/>
      <c r="AD52" s="36"/>
      <c r="AE52" s="37"/>
    </row>
    <row r="53" spans="1:31" ht="15.75" x14ac:dyDescent="0.25">
      <c r="A53" s="42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4"/>
      <c r="N53" s="36"/>
      <c r="O53" s="37"/>
      <c r="P53" s="36"/>
      <c r="Q53" s="37"/>
      <c r="R53" s="36"/>
      <c r="S53" s="37"/>
      <c r="T53" s="36"/>
      <c r="U53" s="37"/>
      <c r="V53" s="36"/>
      <c r="W53" s="37"/>
      <c r="X53" s="36"/>
      <c r="Y53" s="37"/>
      <c r="Z53" s="36"/>
      <c r="AA53" s="37"/>
      <c r="AB53" s="36"/>
      <c r="AC53" s="37"/>
      <c r="AD53" s="36"/>
      <c r="AE53" s="37"/>
    </row>
    <row r="54" spans="1:31" ht="15.75" x14ac:dyDescent="0.2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</row>
    <row r="55" spans="1:31" ht="15.75" x14ac:dyDescent="0.2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</row>
    <row r="56" spans="1:31" ht="15.75" x14ac:dyDescent="0.2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</row>
    <row r="57" spans="1:31" ht="15.75" x14ac:dyDescent="0.2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</row>
    <row r="58" spans="1:31" ht="15.75" x14ac:dyDescent="0.2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</row>
    <row r="59" spans="1:31" ht="15.75" x14ac:dyDescent="0.25">
      <c r="A59" s="42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4"/>
      <c r="N59" s="36"/>
      <c r="O59" s="37"/>
      <c r="P59" s="36"/>
      <c r="Q59" s="37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</row>
    <row r="60" spans="1:31" ht="15.75" x14ac:dyDescent="0.25">
      <c r="A60" s="42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4"/>
      <c r="N60" s="36"/>
      <c r="O60" s="37"/>
      <c r="P60" s="36"/>
      <c r="Q60" s="37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</row>
    <row r="61" spans="1:31" ht="15.75" x14ac:dyDescent="0.25">
      <c r="A61" s="42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4"/>
      <c r="N61" s="36"/>
      <c r="O61" s="37"/>
      <c r="P61" s="36"/>
      <c r="Q61" s="37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</row>
    <row r="62" spans="1:31" ht="15.75" x14ac:dyDescent="0.25">
      <c r="A62" s="42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4"/>
      <c r="N62" s="36"/>
      <c r="O62" s="37"/>
      <c r="P62" s="36"/>
      <c r="Q62" s="37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</row>
    <row r="63" spans="1:31" ht="15.75" x14ac:dyDescent="0.25">
      <c r="A63" s="42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4"/>
      <c r="N63" s="36"/>
      <c r="O63" s="37"/>
      <c r="P63" s="36"/>
      <c r="Q63" s="37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</row>
    <row r="64" spans="1:31" ht="15.75" x14ac:dyDescent="0.25">
      <c r="A64" s="42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4"/>
      <c r="N64" s="36"/>
      <c r="O64" s="37"/>
      <c r="P64" s="36"/>
      <c r="Q64" s="37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</row>
    <row r="65" spans="1:31" ht="15.75" x14ac:dyDescent="0.25">
      <c r="A65" s="42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4"/>
      <c r="N65" s="36"/>
      <c r="O65" s="37"/>
      <c r="P65" s="36"/>
      <c r="Q65" s="37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</row>
    <row r="66" spans="1:31" ht="15.75" x14ac:dyDescent="0.25">
      <c r="A66" s="42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4"/>
      <c r="N66" s="36"/>
      <c r="O66" s="37"/>
      <c r="P66" s="36"/>
      <c r="Q66" s="37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</row>
    <row r="67" spans="1:31" ht="15.75" x14ac:dyDescent="0.25">
      <c r="A67" s="42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4"/>
      <c r="N67" s="36"/>
      <c r="O67" s="37"/>
      <c r="P67" s="36"/>
      <c r="Q67" s="37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</row>
    <row r="68" spans="1:31" ht="15.75" x14ac:dyDescent="0.25">
      <c r="A68" s="42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4"/>
      <c r="N68" s="36"/>
      <c r="O68" s="37"/>
      <c r="P68" s="36"/>
      <c r="Q68" s="37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</row>
    <row r="69" spans="1:31" ht="15.75" x14ac:dyDescent="0.25">
      <c r="A69" s="42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4"/>
      <c r="N69" s="36"/>
      <c r="O69" s="37"/>
      <c r="P69" s="36"/>
      <c r="Q69" s="37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</row>
    <row r="70" spans="1:31" ht="15.75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</row>
    <row r="71" spans="1:31" ht="11.2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</row>
    <row r="72" spans="1:31" ht="35.2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41"/>
      <c r="P72" s="41"/>
      <c r="Q72" s="41"/>
      <c r="R72" s="41"/>
      <c r="S72" s="41"/>
      <c r="T72" s="41"/>
      <c r="U72" s="41"/>
      <c r="V72" s="2"/>
      <c r="W72" s="2"/>
      <c r="X72" s="2"/>
      <c r="Y72" s="2"/>
      <c r="Z72" s="2"/>
      <c r="AA72" s="2"/>
      <c r="AB72" s="2"/>
      <c r="AC72" s="2"/>
      <c r="AD72" s="2"/>
      <c r="AE72" s="2"/>
    </row>
    <row r="73" spans="1:31" ht="21.7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49"/>
      <c r="O73" s="49"/>
      <c r="P73" s="49"/>
      <c r="Q73" s="49"/>
      <c r="R73" s="49"/>
      <c r="S73" s="49"/>
      <c r="T73" s="49"/>
      <c r="U73" s="49"/>
      <c r="V73" s="49"/>
      <c r="W73" s="2"/>
      <c r="X73" s="2"/>
      <c r="Y73" s="2"/>
      <c r="Z73" s="2"/>
      <c r="AA73" s="2"/>
      <c r="AB73" s="2"/>
      <c r="AC73" s="2"/>
      <c r="AD73" s="2"/>
      <c r="AE73" s="2"/>
    </row>
    <row r="74" spans="1:3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81" t="s">
        <v>28</v>
      </c>
      <c r="O74" s="81"/>
      <c r="P74" s="81"/>
      <c r="Q74" s="81"/>
      <c r="R74" s="81"/>
      <c r="S74" s="81"/>
      <c r="T74" s="81"/>
      <c r="U74" s="81"/>
      <c r="V74" s="81"/>
      <c r="W74" s="2"/>
      <c r="X74" s="2"/>
      <c r="Y74" s="2"/>
      <c r="Z74" s="2"/>
      <c r="AA74" s="2"/>
      <c r="AB74" s="2"/>
      <c r="AC74" s="2"/>
      <c r="AD74" s="2"/>
      <c r="AE74" s="2"/>
    </row>
  </sheetData>
  <sheetProtection algorithmName="SHA-512" hashValue="TYSHcWfAg+2H+741GmUNKsYveYh4tTJz5/Tfu4tV/mAW9HYhXrHKiHTa22L78PaVqWQ90T5B1pt6iig6Apq24Q==" saltValue="zuFzmTK5j6qx8vjI7YEN2w==" spinCount="100000" sheet="1" objects="1" scenarios="1"/>
  <mergeCells count="327">
    <mergeCell ref="AD67:AE67"/>
    <mergeCell ref="A68:M68"/>
    <mergeCell ref="N68:O68"/>
    <mergeCell ref="P68:Q68"/>
    <mergeCell ref="R68:S68"/>
    <mergeCell ref="T68:U68"/>
    <mergeCell ref="V68:W68"/>
    <mergeCell ref="X68:Y68"/>
    <mergeCell ref="Z68:AA68"/>
    <mergeCell ref="AB68:AC68"/>
    <mergeCell ref="AD68:AE68"/>
    <mergeCell ref="A67:M67"/>
    <mergeCell ref="N67:O67"/>
    <mergeCell ref="P67:Q67"/>
    <mergeCell ref="R67:S67"/>
    <mergeCell ref="T67:U67"/>
    <mergeCell ref="V67:W67"/>
    <mergeCell ref="X67:Y67"/>
    <mergeCell ref="Z67:AA67"/>
    <mergeCell ref="AB67:AC67"/>
    <mergeCell ref="AD65:AE65"/>
    <mergeCell ref="A66:M66"/>
    <mergeCell ref="N66:O66"/>
    <mergeCell ref="P66:Q66"/>
    <mergeCell ref="R66:S66"/>
    <mergeCell ref="T66:U66"/>
    <mergeCell ref="V66:W66"/>
    <mergeCell ref="X66:Y66"/>
    <mergeCell ref="Z66:AA66"/>
    <mergeCell ref="AB66:AC66"/>
    <mergeCell ref="AD66:AE66"/>
    <mergeCell ref="A65:M65"/>
    <mergeCell ref="N65:O65"/>
    <mergeCell ref="P65:Q65"/>
    <mergeCell ref="R65:S65"/>
    <mergeCell ref="T65:U65"/>
    <mergeCell ref="V65:W65"/>
    <mergeCell ref="X65:Y65"/>
    <mergeCell ref="Z65:AA65"/>
    <mergeCell ref="AB65:AC65"/>
    <mergeCell ref="AD64:AE64"/>
    <mergeCell ref="A63:M63"/>
    <mergeCell ref="N63:O63"/>
    <mergeCell ref="P63:Q63"/>
    <mergeCell ref="R63:S63"/>
    <mergeCell ref="T63:U63"/>
    <mergeCell ref="V63:W63"/>
    <mergeCell ref="X63:Y63"/>
    <mergeCell ref="Z63:AA63"/>
    <mergeCell ref="AB63:AC63"/>
    <mergeCell ref="A64:M64"/>
    <mergeCell ref="N64:O64"/>
    <mergeCell ref="P64:Q64"/>
    <mergeCell ref="R64:S64"/>
    <mergeCell ref="T64:U64"/>
    <mergeCell ref="V64:W64"/>
    <mergeCell ref="X64:Y64"/>
    <mergeCell ref="Z64:AA64"/>
    <mergeCell ref="AB64:AC64"/>
    <mergeCell ref="Z62:AA62"/>
    <mergeCell ref="AB62:AC62"/>
    <mergeCell ref="AD62:AE62"/>
    <mergeCell ref="AD63:AE63"/>
    <mergeCell ref="A38:B38"/>
    <mergeCell ref="C38:M38"/>
    <mergeCell ref="V61:W61"/>
    <mergeCell ref="X61:Y61"/>
    <mergeCell ref="X53:Y53"/>
    <mergeCell ref="Z53:AA53"/>
    <mergeCell ref="AB53:AC53"/>
    <mergeCell ref="A55:M55"/>
    <mergeCell ref="N55:O55"/>
    <mergeCell ref="P55:Q55"/>
    <mergeCell ref="R55:S55"/>
    <mergeCell ref="T55:U55"/>
    <mergeCell ref="V55:W55"/>
    <mergeCell ref="X55:Y55"/>
    <mergeCell ref="Z55:AA55"/>
    <mergeCell ref="AB55:AC55"/>
    <mergeCell ref="AD57:AE57"/>
    <mergeCell ref="V56:W56"/>
    <mergeCell ref="X56:Y56"/>
    <mergeCell ref="Z56:AA56"/>
    <mergeCell ref="A35:B35"/>
    <mergeCell ref="C35:M35"/>
    <mergeCell ref="A36:B36"/>
    <mergeCell ref="C36:M36"/>
    <mergeCell ref="A61:M61"/>
    <mergeCell ref="N61:O61"/>
    <mergeCell ref="P61:Q61"/>
    <mergeCell ref="R61:S61"/>
    <mergeCell ref="T61:U61"/>
    <mergeCell ref="A60:M60"/>
    <mergeCell ref="A53:M53"/>
    <mergeCell ref="N53:O53"/>
    <mergeCell ref="P53:Q53"/>
    <mergeCell ref="R53:S53"/>
    <mergeCell ref="T53:U53"/>
    <mergeCell ref="N60:O60"/>
    <mergeCell ref="P60:Q60"/>
    <mergeCell ref="R60:S60"/>
    <mergeCell ref="T60:U60"/>
    <mergeCell ref="C40:M40"/>
    <mergeCell ref="A39:B39"/>
    <mergeCell ref="C39:M39"/>
    <mergeCell ref="A58:M58"/>
    <mergeCell ref="N58:O58"/>
    <mergeCell ref="AD70:AE70"/>
    <mergeCell ref="N74:V74"/>
    <mergeCell ref="X54:Y54"/>
    <mergeCell ref="Z54:AA54"/>
    <mergeCell ref="AB54:AC54"/>
    <mergeCell ref="AD54:AE54"/>
    <mergeCell ref="N73:V73"/>
    <mergeCell ref="A70:M70"/>
    <mergeCell ref="N70:O70"/>
    <mergeCell ref="P70:Q70"/>
    <mergeCell ref="R70:S70"/>
    <mergeCell ref="T70:U70"/>
    <mergeCell ref="V70:W70"/>
    <mergeCell ref="A59:M59"/>
    <mergeCell ref="N59:O59"/>
    <mergeCell ref="P59:Q59"/>
    <mergeCell ref="R59:S59"/>
    <mergeCell ref="T59:U59"/>
    <mergeCell ref="V59:W59"/>
    <mergeCell ref="X59:Y59"/>
    <mergeCell ref="Z59:AA59"/>
    <mergeCell ref="AB59:AC59"/>
    <mergeCell ref="AD59:AE59"/>
    <mergeCell ref="X70:Y70"/>
    <mergeCell ref="Z70:AA70"/>
    <mergeCell ref="AB70:AC70"/>
    <mergeCell ref="AD51:AE51"/>
    <mergeCell ref="A52:M52"/>
    <mergeCell ref="N52:O52"/>
    <mergeCell ref="P52:Q52"/>
    <mergeCell ref="R52:S52"/>
    <mergeCell ref="T52:U52"/>
    <mergeCell ref="V52:W52"/>
    <mergeCell ref="AD53:AE53"/>
    <mergeCell ref="A54:M54"/>
    <mergeCell ref="N54:O54"/>
    <mergeCell ref="P54:Q54"/>
    <mergeCell ref="R54:S54"/>
    <mergeCell ref="T54:U54"/>
    <mergeCell ref="V54:W54"/>
    <mergeCell ref="X52:Y52"/>
    <mergeCell ref="Z52:AA52"/>
    <mergeCell ref="AB52:AC52"/>
    <mergeCell ref="AD52:AE52"/>
    <mergeCell ref="AB51:AC51"/>
    <mergeCell ref="AB57:AC57"/>
    <mergeCell ref="AD55:AE55"/>
    <mergeCell ref="AB56:AC56"/>
    <mergeCell ref="A34:B34"/>
    <mergeCell ref="C34:M34"/>
    <mergeCell ref="A46:B46"/>
    <mergeCell ref="C46:M46"/>
    <mergeCell ref="A48:AE48"/>
    <mergeCell ref="A49:M50"/>
    <mergeCell ref="N49:O49"/>
    <mergeCell ref="P49:Q49"/>
    <mergeCell ref="R49:S49"/>
    <mergeCell ref="T49:U49"/>
    <mergeCell ref="V49:W49"/>
    <mergeCell ref="X49:Y49"/>
    <mergeCell ref="Z49:AA49"/>
    <mergeCell ref="AB49:AC49"/>
    <mergeCell ref="AD49:AE49"/>
    <mergeCell ref="N50:O50"/>
    <mergeCell ref="P50:Q50"/>
    <mergeCell ref="R50:S50"/>
    <mergeCell ref="T50:U50"/>
    <mergeCell ref="V50:W50"/>
    <mergeCell ref="X50:Y50"/>
    <mergeCell ref="Z50:AA50"/>
    <mergeCell ref="AB50:AC50"/>
    <mergeCell ref="AD50:AE50"/>
    <mergeCell ref="A31:B31"/>
    <mergeCell ref="C31:M31"/>
    <mergeCell ref="A32:B32"/>
    <mergeCell ref="C32:M32"/>
    <mergeCell ref="A33:B33"/>
    <mergeCell ref="C33:M33"/>
    <mergeCell ref="A28:B28"/>
    <mergeCell ref="C28:M28"/>
    <mergeCell ref="A29:B29"/>
    <mergeCell ref="C29:M29"/>
    <mergeCell ref="A30:B30"/>
    <mergeCell ref="C30:M30"/>
    <mergeCell ref="A37:B37"/>
    <mergeCell ref="C37:M37"/>
    <mergeCell ref="A45:B45"/>
    <mergeCell ref="C45:M45"/>
    <mergeCell ref="A43:B43"/>
    <mergeCell ref="C43:M43"/>
    <mergeCell ref="A42:B42"/>
    <mergeCell ref="C42:M42"/>
    <mergeCell ref="A41:B41"/>
    <mergeCell ref="C41:M41"/>
    <mergeCell ref="A40:B40"/>
    <mergeCell ref="A25:B25"/>
    <mergeCell ref="C25:M25"/>
    <mergeCell ref="A26:B26"/>
    <mergeCell ref="C26:M26"/>
    <mergeCell ref="A27:B27"/>
    <mergeCell ref="C27:M27"/>
    <mergeCell ref="A22:B22"/>
    <mergeCell ref="C22:M22"/>
    <mergeCell ref="A23:B23"/>
    <mergeCell ref="C23:M23"/>
    <mergeCell ref="A24:B24"/>
    <mergeCell ref="C24:M24"/>
    <mergeCell ref="A19:B19"/>
    <mergeCell ref="C19:M19"/>
    <mergeCell ref="A20:B20"/>
    <mergeCell ref="C20:M20"/>
    <mergeCell ref="A21:B21"/>
    <mergeCell ref="C21:M21"/>
    <mergeCell ref="AO16:AP16"/>
    <mergeCell ref="AQ16:AR16"/>
    <mergeCell ref="A17:B17"/>
    <mergeCell ref="C17:M17"/>
    <mergeCell ref="A18:B18"/>
    <mergeCell ref="C18:M18"/>
    <mergeCell ref="A14:B16"/>
    <mergeCell ref="C14:M16"/>
    <mergeCell ref="N14:O14"/>
    <mergeCell ref="P14:Q14"/>
    <mergeCell ref="R14:S14"/>
    <mergeCell ref="T14:U14"/>
    <mergeCell ref="N15:O15"/>
    <mergeCell ref="P15:Q15"/>
    <mergeCell ref="R15:S15"/>
    <mergeCell ref="T15:U15"/>
    <mergeCell ref="X15:Y15"/>
    <mergeCell ref="Z15:AA15"/>
    <mergeCell ref="AB15:AC15"/>
    <mergeCell ref="AD15:AE15"/>
    <mergeCell ref="AO15:AR15"/>
    <mergeCell ref="V14:W14"/>
    <mergeCell ref="X14:Y14"/>
    <mergeCell ref="Z14:AA14"/>
    <mergeCell ref="AB14:AC14"/>
    <mergeCell ref="AD14:AE14"/>
    <mergeCell ref="AO14:AR14"/>
    <mergeCell ref="V15:W15"/>
    <mergeCell ref="A1:F4"/>
    <mergeCell ref="G1:AE2"/>
    <mergeCell ref="G3:M3"/>
    <mergeCell ref="N3:S3"/>
    <mergeCell ref="T3:Y3"/>
    <mergeCell ref="Z3:AE3"/>
    <mergeCell ref="G4:M4"/>
    <mergeCell ref="N4:S4"/>
    <mergeCell ref="T4:Y4"/>
    <mergeCell ref="Z4:AE4"/>
    <mergeCell ref="A6:AE7"/>
    <mergeCell ref="A9:E9"/>
    <mergeCell ref="F9:I9"/>
    <mergeCell ref="P9:U9"/>
    <mergeCell ref="X9:AD9"/>
    <mergeCell ref="A11:G11"/>
    <mergeCell ref="H11:O11"/>
    <mergeCell ref="P11:R11"/>
    <mergeCell ref="S11:W11"/>
    <mergeCell ref="X11:AD11"/>
    <mergeCell ref="AD56:AE56"/>
    <mergeCell ref="V53:W53"/>
    <mergeCell ref="V51:W51"/>
    <mergeCell ref="AB58:AC58"/>
    <mergeCell ref="AD58:AE58"/>
    <mergeCell ref="A69:M69"/>
    <mergeCell ref="N69:O69"/>
    <mergeCell ref="P69:Q69"/>
    <mergeCell ref="R69:S69"/>
    <mergeCell ref="T69:U69"/>
    <mergeCell ref="V69:W69"/>
    <mergeCell ref="X69:Y69"/>
    <mergeCell ref="Z69:AA69"/>
    <mergeCell ref="AB69:AC69"/>
    <mergeCell ref="AD69:AE69"/>
    <mergeCell ref="V60:W60"/>
    <mergeCell ref="X60:Y60"/>
    <mergeCell ref="Z60:AA60"/>
    <mergeCell ref="AB60:AC60"/>
    <mergeCell ref="AD60:AE60"/>
    <mergeCell ref="Z61:AA61"/>
    <mergeCell ref="AB61:AC61"/>
    <mergeCell ref="AD61:AE61"/>
    <mergeCell ref="A62:M62"/>
    <mergeCell ref="N62:O62"/>
    <mergeCell ref="V62:W62"/>
    <mergeCell ref="X62:Y62"/>
    <mergeCell ref="P62:Q62"/>
    <mergeCell ref="R62:S62"/>
    <mergeCell ref="A44:B44"/>
    <mergeCell ref="C44:M44"/>
    <mergeCell ref="O72:U72"/>
    <mergeCell ref="P58:Q58"/>
    <mergeCell ref="R58:S58"/>
    <mergeCell ref="T58:U58"/>
    <mergeCell ref="A56:M56"/>
    <mergeCell ref="N56:O56"/>
    <mergeCell ref="P56:Q56"/>
    <mergeCell ref="R56:S56"/>
    <mergeCell ref="T56:U56"/>
    <mergeCell ref="T62:U62"/>
    <mergeCell ref="A57:M57"/>
    <mergeCell ref="N57:O57"/>
    <mergeCell ref="A51:M51"/>
    <mergeCell ref="N51:O51"/>
    <mergeCell ref="P51:Q51"/>
    <mergeCell ref="R51:S51"/>
    <mergeCell ref="T51:U51"/>
    <mergeCell ref="X51:Y51"/>
    <mergeCell ref="Z51:AA51"/>
    <mergeCell ref="V58:W58"/>
    <mergeCell ref="X58:Y58"/>
    <mergeCell ref="Z58:AA58"/>
    <mergeCell ref="P57:Q57"/>
    <mergeCell ref="R57:S57"/>
    <mergeCell ref="T57:U57"/>
    <mergeCell ref="V57:W57"/>
    <mergeCell ref="X57:Y57"/>
    <mergeCell ref="Z57:AA57"/>
  </mergeCells>
  <dataValidations count="1">
    <dataValidation type="list" allowBlank="1" showInputMessage="1" showErrorMessage="1" sqref="C17:M46" xr:uid="{00000000-0002-0000-0000-000000000000}">
      <formula1>INDIRECT(PAA)</formula1>
    </dataValidation>
  </dataValidations>
  <printOptions horizontalCentered="1" verticalCentered="1"/>
  <pageMargins left="0" right="0" top="0" bottom="0" header="0" footer="0"/>
  <pageSetup scale="7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Dato" error="Dato no válido" xr:uid="{00000000-0002-0000-0000-000001000000}">
          <x14:formula1>
            <xm:f>'BD OK'!$E$2:$E$19</xm:f>
          </x14:formula1>
          <xm:sqref>H11:O11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BK236"/>
  <sheetViews>
    <sheetView topLeftCell="V2" zoomScale="112" zoomScaleNormal="70" workbookViewId="0">
      <selection activeCell="AC7" sqref="AC7"/>
    </sheetView>
  </sheetViews>
  <sheetFormatPr baseColWidth="10" defaultRowHeight="15" x14ac:dyDescent="0.25"/>
  <cols>
    <col min="1" max="1" width="7.42578125" customWidth="1"/>
    <col min="2" max="2" width="49.42578125" customWidth="1"/>
    <col min="3" max="3" width="13.7109375" customWidth="1"/>
    <col min="4" max="4" width="19" customWidth="1"/>
    <col min="5" max="5" width="33.85546875" customWidth="1"/>
    <col min="6" max="6" width="48.5703125" customWidth="1"/>
    <col min="7" max="7" width="2" customWidth="1"/>
    <col min="8" max="8" width="7.85546875" customWidth="1"/>
    <col min="9" max="9" width="37" customWidth="1"/>
    <col min="10" max="10" width="2.28515625" customWidth="1"/>
    <col min="11" max="11" width="7" customWidth="1"/>
    <col min="12" max="12" width="38.85546875" customWidth="1"/>
    <col min="13" max="13" width="2.140625" customWidth="1"/>
    <col min="14" max="14" width="6.28515625" customWidth="1"/>
    <col min="15" max="15" width="45" customWidth="1"/>
    <col min="16" max="16" width="1.7109375" customWidth="1"/>
    <col min="17" max="17" width="8.140625" customWidth="1"/>
    <col min="18" max="18" width="39.140625" customWidth="1"/>
    <col min="19" max="19" width="2.85546875" customWidth="1"/>
    <col min="20" max="20" width="6.85546875" customWidth="1"/>
    <col min="21" max="21" width="31.28515625" customWidth="1"/>
    <col min="22" max="22" width="2.7109375" customWidth="1"/>
    <col min="23" max="23" width="6.140625" customWidth="1"/>
    <col min="24" max="24" width="43.42578125" customWidth="1"/>
    <col min="25" max="25" width="2.28515625" customWidth="1"/>
    <col min="26" max="26" width="7" customWidth="1"/>
    <col min="27" max="27" width="37.140625" customWidth="1"/>
    <col min="28" max="28" width="2.5703125" customWidth="1"/>
    <col min="29" max="29" width="8" customWidth="1"/>
    <col min="30" max="30" width="36.5703125" customWidth="1"/>
    <col min="31" max="31" width="2" customWidth="1"/>
    <col min="32" max="32" width="6.140625" customWidth="1"/>
    <col min="33" max="33" width="52" customWidth="1"/>
    <col min="34" max="34" width="3.42578125" customWidth="1"/>
    <col min="35" max="35" width="6.7109375" customWidth="1"/>
    <col min="36" max="36" width="34.85546875" customWidth="1"/>
    <col min="37" max="37" width="2.28515625" customWidth="1"/>
    <col min="38" max="38" width="6.28515625" customWidth="1"/>
    <col min="39" max="39" width="48.5703125" customWidth="1"/>
    <col min="40" max="40" width="2.42578125" customWidth="1"/>
    <col min="41" max="41" width="6.7109375" customWidth="1"/>
    <col min="42" max="42" width="47.28515625" customWidth="1"/>
    <col min="43" max="43" width="3" customWidth="1"/>
    <col min="44" max="44" width="7.5703125" customWidth="1"/>
    <col min="45" max="45" width="39.85546875" customWidth="1"/>
    <col min="46" max="46" width="4.140625" customWidth="1"/>
    <col min="47" max="47" width="6.42578125" customWidth="1"/>
    <col min="48" max="48" width="40.28515625" customWidth="1"/>
    <col min="49" max="49" width="4.28515625" customWidth="1"/>
    <col min="50" max="50" width="7.5703125" customWidth="1"/>
    <col min="51" max="51" width="44.5703125" customWidth="1"/>
    <col min="52" max="52" width="4.5703125" customWidth="1"/>
    <col min="53" max="53" width="8.140625" customWidth="1"/>
    <col min="54" max="54" width="37.5703125" customWidth="1"/>
    <col min="55" max="55" width="4.7109375" customWidth="1"/>
    <col min="56" max="56" width="16.140625" customWidth="1"/>
    <col min="57" max="57" width="35.85546875" customWidth="1"/>
    <col min="58" max="58" width="7.28515625" customWidth="1"/>
    <col min="59" max="59" width="8.7109375" customWidth="1"/>
    <col min="60" max="60" width="47" customWidth="1"/>
    <col min="61" max="61" width="6" customWidth="1"/>
    <col min="62" max="62" width="6.5703125" customWidth="1"/>
    <col min="63" max="63" width="4.85546875" customWidth="1"/>
  </cols>
  <sheetData>
    <row r="1" spans="1:63" x14ac:dyDescent="0.25">
      <c r="A1" s="82" t="s">
        <v>149</v>
      </c>
      <c r="B1" s="82"/>
      <c r="D1" s="82" t="s">
        <v>11</v>
      </c>
      <c r="E1" s="82"/>
      <c r="F1" s="82"/>
      <c r="H1" s="82" t="s">
        <v>33</v>
      </c>
      <c r="I1" s="82"/>
      <c r="K1" s="83" t="s">
        <v>34</v>
      </c>
      <c r="L1" s="83"/>
      <c r="N1" s="82" t="s">
        <v>224</v>
      </c>
      <c r="O1" s="82"/>
      <c r="Q1" s="82" t="s">
        <v>49</v>
      </c>
      <c r="R1" s="82"/>
      <c r="T1" s="82" t="s">
        <v>56</v>
      </c>
      <c r="U1" s="82"/>
      <c r="W1" s="82" t="s">
        <v>31</v>
      </c>
      <c r="X1" s="82"/>
      <c r="Z1" s="82" t="s">
        <v>32</v>
      </c>
      <c r="AA1" s="82"/>
      <c r="AC1" s="82" t="s">
        <v>73</v>
      </c>
      <c r="AD1" s="82"/>
      <c r="AF1" s="82" t="s">
        <v>36</v>
      </c>
      <c r="AG1" s="82"/>
      <c r="AI1" s="82" t="s">
        <v>97</v>
      </c>
      <c r="AJ1" s="82"/>
      <c r="AL1" s="82" t="s">
        <v>102</v>
      </c>
      <c r="AM1" s="82"/>
      <c r="AO1" s="82" t="s">
        <v>145</v>
      </c>
      <c r="AP1" s="82"/>
      <c r="AR1" s="82" t="s">
        <v>147</v>
      </c>
      <c r="AS1" s="82"/>
      <c r="AU1" s="82" t="s">
        <v>143</v>
      </c>
      <c r="AV1" s="82"/>
      <c r="AX1" s="82" t="s">
        <v>225</v>
      </c>
      <c r="AY1" s="82"/>
      <c r="BA1" s="82" t="s">
        <v>156</v>
      </c>
      <c r="BB1" s="82"/>
      <c r="BC1" s="12"/>
      <c r="BD1" s="82" t="s">
        <v>182</v>
      </c>
      <c r="BE1" s="82"/>
      <c r="BG1" s="82" t="s">
        <v>179</v>
      </c>
      <c r="BH1" s="82"/>
      <c r="BJ1" s="13"/>
      <c r="BK1" s="13"/>
    </row>
    <row r="2" spans="1:63" x14ac:dyDescent="0.25">
      <c r="B2" t="s">
        <v>42</v>
      </c>
      <c r="C2" s="11">
        <v>627</v>
      </c>
      <c r="D2" t="s">
        <v>115</v>
      </c>
      <c r="E2" t="s">
        <v>36</v>
      </c>
      <c r="F2" t="s">
        <v>23</v>
      </c>
      <c r="H2" s="24">
        <v>1537</v>
      </c>
      <c r="I2" t="s">
        <v>213</v>
      </c>
      <c r="K2" s="24">
        <v>1322</v>
      </c>
      <c r="L2" t="s">
        <v>26</v>
      </c>
      <c r="N2">
        <v>627</v>
      </c>
      <c r="O2" t="s">
        <v>42</v>
      </c>
      <c r="Q2" s="24">
        <v>1187</v>
      </c>
      <c r="R2" t="s">
        <v>50</v>
      </c>
      <c r="T2">
        <v>5</v>
      </c>
      <c r="U2" t="s">
        <v>58</v>
      </c>
      <c r="W2" s="11">
        <v>1445</v>
      </c>
      <c r="X2" t="s">
        <v>163</v>
      </c>
      <c r="Z2" s="23">
        <v>478</v>
      </c>
      <c r="AA2" t="s">
        <v>67</v>
      </c>
      <c r="AC2" s="11">
        <v>1375</v>
      </c>
      <c r="AD2" t="s">
        <v>78</v>
      </c>
      <c r="AF2" s="11">
        <v>1411</v>
      </c>
      <c r="AG2" t="s">
        <v>96</v>
      </c>
      <c r="AI2" s="11">
        <v>975</v>
      </c>
      <c r="AJ2" t="s">
        <v>100</v>
      </c>
      <c r="AL2">
        <v>8</v>
      </c>
      <c r="AM2" t="s">
        <v>106</v>
      </c>
      <c r="AO2" s="11">
        <v>1444</v>
      </c>
      <c r="AP2" t="s">
        <v>162</v>
      </c>
      <c r="AR2">
        <v>1528</v>
      </c>
      <c r="AS2" t="s">
        <v>208</v>
      </c>
      <c r="AU2" s="11">
        <v>1443</v>
      </c>
      <c r="AV2" t="s">
        <v>161</v>
      </c>
      <c r="AX2" s="23">
        <v>1533</v>
      </c>
      <c r="AY2" t="s">
        <v>212</v>
      </c>
      <c r="BA2" s="11">
        <v>1129</v>
      </c>
      <c r="BB2" t="s">
        <v>132</v>
      </c>
      <c r="BD2" s="11">
        <v>1488</v>
      </c>
      <c r="BE2" t="s">
        <v>176</v>
      </c>
      <c r="BG2" s="11">
        <v>1040</v>
      </c>
      <c r="BH2" t="s">
        <v>129</v>
      </c>
    </row>
    <row r="3" spans="1:63" x14ac:dyDescent="0.25">
      <c r="B3" t="s">
        <v>162</v>
      </c>
      <c r="C3" s="11">
        <v>1444</v>
      </c>
      <c r="D3" t="s">
        <v>117</v>
      </c>
      <c r="E3" t="s">
        <v>37</v>
      </c>
      <c r="F3" t="s">
        <v>74</v>
      </c>
      <c r="H3" s="24">
        <v>6</v>
      </c>
      <c r="I3" t="s">
        <v>27</v>
      </c>
      <c r="K3" s="24">
        <v>147</v>
      </c>
      <c r="L3" t="s">
        <v>19</v>
      </c>
      <c r="N3">
        <v>1531</v>
      </c>
      <c r="O3" t="s">
        <v>210</v>
      </c>
      <c r="Q3" s="24">
        <v>1002</v>
      </c>
      <c r="R3" t="s">
        <v>85</v>
      </c>
      <c r="T3">
        <v>740</v>
      </c>
      <c r="U3" t="s">
        <v>57</v>
      </c>
      <c r="W3" s="11">
        <v>118</v>
      </c>
      <c r="X3" t="s">
        <v>59</v>
      </c>
      <c r="Z3" s="23">
        <v>1519</v>
      </c>
      <c r="AA3" t="s">
        <v>202</v>
      </c>
      <c r="AC3" s="11">
        <v>1490</v>
      </c>
      <c r="AD3" t="s">
        <v>177</v>
      </c>
      <c r="AF3" s="11">
        <v>970</v>
      </c>
      <c r="AG3" t="s">
        <v>23</v>
      </c>
      <c r="AI3" s="11">
        <v>1446</v>
      </c>
      <c r="AJ3" t="s">
        <v>164</v>
      </c>
      <c r="AL3">
        <v>1491</v>
      </c>
      <c r="AM3" t="s">
        <v>178</v>
      </c>
      <c r="AO3" s="11">
        <v>1114</v>
      </c>
      <c r="AP3" t="s">
        <v>131</v>
      </c>
      <c r="AR3">
        <v>1498</v>
      </c>
      <c r="AS3" t="s">
        <v>188</v>
      </c>
      <c r="AU3" s="11">
        <v>1001</v>
      </c>
      <c r="AV3" t="s">
        <v>125</v>
      </c>
      <c r="AX3" s="11">
        <v>566</v>
      </c>
      <c r="AY3" s="25" t="s">
        <v>41</v>
      </c>
      <c r="BA3" s="11">
        <v>411</v>
      </c>
      <c r="BB3" t="s">
        <v>120</v>
      </c>
      <c r="BD3" s="11">
        <v>1339</v>
      </c>
      <c r="BE3" t="s">
        <v>76</v>
      </c>
      <c r="BG3" s="11">
        <v>863</v>
      </c>
      <c r="BH3" t="s">
        <v>123</v>
      </c>
    </row>
    <row r="4" spans="1:63" x14ac:dyDescent="0.25">
      <c r="B4" t="s">
        <v>163</v>
      </c>
      <c r="C4" s="11">
        <v>1445</v>
      </c>
      <c r="D4" t="s">
        <v>112</v>
      </c>
      <c r="E4" t="s">
        <v>56</v>
      </c>
      <c r="F4" t="s">
        <v>58</v>
      </c>
      <c r="H4" s="24">
        <v>1534</v>
      </c>
      <c r="I4" t="s">
        <v>215</v>
      </c>
      <c r="K4" s="24">
        <v>18</v>
      </c>
      <c r="L4" t="s">
        <v>38</v>
      </c>
      <c r="N4">
        <v>1437</v>
      </c>
      <c r="O4" t="s">
        <v>158</v>
      </c>
      <c r="Q4" s="24">
        <v>1354</v>
      </c>
      <c r="R4" t="s">
        <v>53</v>
      </c>
      <c r="W4" s="11">
        <v>1018</v>
      </c>
      <c r="X4" t="s">
        <v>62</v>
      </c>
      <c r="Z4" s="23">
        <v>1315</v>
      </c>
      <c r="AA4" t="s">
        <v>72</v>
      </c>
      <c r="AC4" s="11">
        <v>1548</v>
      </c>
      <c r="AD4" t="s">
        <v>237</v>
      </c>
      <c r="AF4" s="11">
        <v>338</v>
      </c>
      <c r="AG4" t="s">
        <v>20</v>
      </c>
      <c r="AI4" s="11">
        <v>1513</v>
      </c>
      <c r="AJ4" t="s">
        <v>197</v>
      </c>
      <c r="AL4">
        <v>1331</v>
      </c>
      <c r="AM4" t="s">
        <v>104</v>
      </c>
      <c r="AO4" s="11">
        <v>1134</v>
      </c>
      <c r="AP4" t="s">
        <v>133</v>
      </c>
      <c r="AR4">
        <v>1511</v>
      </c>
      <c r="AS4" t="s">
        <v>196</v>
      </c>
      <c r="AU4" s="11">
        <v>9</v>
      </c>
      <c r="AV4" t="s">
        <v>142</v>
      </c>
      <c r="AX4" s="11">
        <v>291</v>
      </c>
      <c r="AY4" s="25" t="s">
        <v>40</v>
      </c>
      <c r="BD4" s="11">
        <v>1541</v>
      </c>
      <c r="BE4" t="s">
        <v>223</v>
      </c>
      <c r="BG4" s="11">
        <v>1499</v>
      </c>
      <c r="BH4" t="s">
        <v>185</v>
      </c>
    </row>
    <row r="5" spans="1:63" x14ac:dyDescent="0.25">
      <c r="B5" t="s">
        <v>210</v>
      </c>
      <c r="C5" s="11">
        <v>1531</v>
      </c>
      <c r="D5" t="s">
        <v>227</v>
      </c>
      <c r="E5" t="s">
        <v>224</v>
      </c>
      <c r="F5" t="s">
        <v>226</v>
      </c>
      <c r="H5" s="24">
        <v>1396</v>
      </c>
      <c r="I5" t="s">
        <v>25</v>
      </c>
      <c r="K5" s="24">
        <v>969</v>
      </c>
      <c r="L5" t="s">
        <v>22</v>
      </c>
      <c r="N5">
        <v>1299</v>
      </c>
      <c r="O5" t="s">
        <v>48</v>
      </c>
      <c r="Q5" s="24">
        <v>1264</v>
      </c>
      <c r="R5" t="s">
        <v>51</v>
      </c>
      <c r="W5" s="11">
        <v>1427</v>
      </c>
      <c r="X5" t="s">
        <v>153</v>
      </c>
      <c r="Z5" s="23">
        <v>1543</v>
      </c>
      <c r="AA5" t="s">
        <v>214</v>
      </c>
      <c r="AC5" s="11">
        <v>1161</v>
      </c>
      <c r="AD5" t="s">
        <v>75</v>
      </c>
      <c r="AF5" s="11">
        <v>1379</v>
      </c>
      <c r="AG5" t="s">
        <v>94</v>
      </c>
      <c r="AI5" s="11">
        <v>526</v>
      </c>
      <c r="AJ5" t="s">
        <v>98</v>
      </c>
      <c r="AL5">
        <v>1540</v>
      </c>
      <c r="AM5" t="s">
        <v>218</v>
      </c>
      <c r="AO5" s="11">
        <v>1312</v>
      </c>
      <c r="AP5" t="s">
        <v>135</v>
      </c>
      <c r="AU5" s="11">
        <v>1353</v>
      </c>
      <c r="AV5" t="s">
        <v>136</v>
      </c>
      <c r="AX5" s="11">
        <v>1164</v>
      </c>
      <c r="AY5" s="25" t="s">
        <v>47</v>
      </c>
      <c r="BG5" s="11">
        <v>1505</v>
      </c>
      <c r="BH5" t="s">
        <v>192</v>
      </c>
    </row>
    <row r="6" spans="1:63" x14ac:dyDescent="0.25">
      <c r="B6" t="s">
        <v>158</v>
      </c>
      <c r="C6" s="11">
        <v>1437</v>
      </c>
      <c r="D6" t="s">
        <v>228</v>
      </c>
      <c r="E6" t="s">
        <v>225</v>
      </c>
      <c r="F6" t="s">
        <v>46</v>
      </c>
      <c r="H6" s="24">
        <v>1371</v>
      </c>
      <c r="I6" t="s">
        <v>24</v>
      </c>
      <c r="K6" s="24">
        <v>1349</v>
      </c>
      <c r="L6" t="s">
        <v>93</v>
      </c>
      <c r="N6">
        <v>871</v>
      </c>
      <c r="O6" t="s">
        <v>45</v>
      </c>
      <c r="Q6" s="24">
        <v>1327</v>
      </c>
      <c r="R6" t="s">
        <v>52</v>
      </c>
      <c r="W6" s="11">
        <v>1080</v>
      </c>
      <c r="X6" t="s">
        <v>64</v>
      </c>
      <c r="Z6" s="23">
        <v>1309</v>
      </c>
      <c r="AA6" t="s">
        <v>71</v>
      </c>
      <c r="AC6" s="11">
        <v>1515</v>
      </c>
      <c r="AD6" t="s">
        <v>199</v>
      </c>
      <c r="AF6" s="11">
        <v>1551</v>
      </c>
      <c r="AG6" t="s">
        <v>234</v>
      </c>
      <c r="AI6" s="11">
        <v>639</v>
      </c>
      <c r="AJ6" t="s">
        <v>99</v>
      </c>
      <c r="AL6">
        <v>1457</v>
      </c>
      <c r="AM6" t="s">
        <v>166</v>
      </c>
      <c r="AO6" s="11">
        <v>1366</v>
      </c>
      <c r="AP6" t="s">
        <v>173</v>
      </c>
      <c r="AU6" s="11">
        <v>1052</v>
      </c>
      <c r="AV6" t="s">
        <v>130</v>
      </c>
      <c r="AX6" s="11">
        <v>1479</v>
      </c>
      <c r="AY6" s="25" t="s">
        <v>174</v>
      </c>
      <c r="BG6" s="11">
        <v>1538</v>
      </c>
      <c r="BH6" t="s">
        <v>217</v>
      </c>
    </row>
    <row r="7" spans="1:63" x14ac:dyDescent="0.25">
      <c r="B7" t="s">
        <v>96</v>
      </c>
      <c r="C7" s="11">
        <v>1411</v>
      </c>
      <c r="D7" t="s">
        <v>114</v>
      </c>
      <c r="E7" t="s">
        <v>31</v>
      </c>
      <c r="F7" t="s">
        <v>64</v>
      </c>
      <c r="H7" s="24">
        <v>909</v>
      </c>
      <c r="I7" t="s">
        <v>21</v>
      </c>
      <c r="K7" s="24">
        <v>35</v>
      </c>
      <c r="L7" t="s">
        <v>17</v>
      </c>
      <c r="N7">
        <v>820</v>
      </c>
      <c r="O7" t="s">
        <v>44</v>
      </c>
      <c r="Q7" s="24">
        <v>1374</v>
      </c>
      <c r="R7" t="s">
        <v>54</v>
      </c>
      <c r="W7" s="11">
        <v>121</v>
      </c>
      <c r="X7" t="s">
        <v>60</v>
      </c>
      <c r="Z7" s="23">
        <v>1300</v>
      </c>
      <c r="AA7" t="s">
        <v>70</v>
      </c>
      <c r="AC7" s="11">
        <v>1544</v>
      </c>
      <c r="AD7" t="s">
        <v>233</v>
      </c>
      <c r="AF7" s="11">
        <v>942</v>
      </c>
      <c r="AG7" t="s">
        <v>84</v>
      </c>
      <c r="AI7" s="11">
        <v>1251</v>
      </c>
      <c r="AJ7" t="s">
        <v>101</v>
      </c>
      <c r="AL7">
        <v>1081</v>
      </c>
      <c r="AM7" t="s">
        <v>103</v>
      </c>
      <c r="AO7" s="11">
        <v>1449</v>
      </c>
      <c r="AP7" t="s">
        <v>165</v>
      </c>
      <c r="AU7" s="11">
        <v>1549</v>
      </c>
      <c r="AV7" t="s">
        <v>235</v>
      </c>
      <c r="AX7" s="11">
        <v>1003</v>
      </c>
      <c r="AY7" s="25" t="s">
        <v>46</v>
      </c>
      <c r="BG7" s="11">
        <v>1388</v>
      </c>
      <c r="BH7" t="s">
        <v>137</v>
      </c>
    </row>
    <row r="8" spans="1:63" x14ac:dyDescent="0.25">
      <c r="B8" t="s">
        <v>23</v>
      </c>
      <c r="C8" s="11">
        <v>970</v>
      </c>
      <c r="D8" t="s">
        <v>109</v>
      </c>
      <c r="E8" t="s">
        <v>32</v>
      </c>
      <c r="F8" t="s">
        <v>65</v>
      </c>
      <c r="K8" s="24">
        <v>1383</v>
      </c>
      <c r="L8" t="s">
        <v>39</v>
      </c>
      <c r="N8">
        <v>711</v>
      </c>
      <c r="O8" t="s">
        <v>43</v>
      </c>
      <c r="Q8" s="24">
        <v>7</v>
      </c>
      <c r="R8" t="s">
        <v>55</v>
      </c>
      <c r="W8" s="11">
        <v>1294</v>
      </c>
      <c r="X8" t="s">
        <v>63</v>
      </c>
      <c r="Z8" s="23">
        <v>1268</v>
      </c>
      <c r="AA8" t="s">
        <v>69</v>
      </c>
      <c r="AC8" s="11">
        <v>1467</v>
      </c>
      <c r="AD8" t="s">
        <v>169</v>
      </c>
      <c r="AF8" s="11">
        <v>1027</v>
      </c>
      <c r="AG8" t="s">
        <v>128</v>
      </c>
      <c r="AI8" s="11">
        <v>1526</v>
      </c>
      <c r="AJ8" t="s">
        <v>205</v>
      </c>
      <c r="AL8">
        <v>1380</v>
      </c>
      <c r="AM8" t="s">
        <v>105</v>
      </c>
      <c r="AO8" s="11">
        <v>1428</v>
      </c>
      <c r="AP8" t="s">
        <v>155</v>
      </c>
      <c r="AU8" s="11">
        <v>1507</v>
      </c>
      <c r="AV8" t="s">
        <v>195</v>
      </c>
      <c r="BA8" s="11"/>
    </row>
    <row r="9" spans="1:63" x14ac:dyDescent="0.25">
      <c r="B9" t="s">
        <v>20</v>
      </c>
      <c r="C9" s="11">
        <v>338</v>
      </c>
      <c r="D9" t="s">
        <v>116</v>
      </c>
      <c r="E9" t="s">
        <v>97</v>
      </c>
      <c r="F9" t="s">
        <v>100</v>
      </c>
      <c r="N9">
        <v>1522</v>
      </c>
      <c r="O9" t="s">
        <v>226</v>
      </c>
      <c r="W9" s="11">
        <v>1466</v>
      </c>
      <c r="X9" t="s">
        <v>211</v>
      </c>
      <c r="Z9" s="23">
        <v>606</v>
      </c>
      <c r="AA9" t="s">
        <v>68</v>
      </c>
      <c r="AC9" s="11">
        <v>1397</v>
      </c>
      <c r="AD9" t="s">
        <v>80</v>
      </c>
      <c r="AF9" s="11">
        <v>941</v>
      </c>
      <c r="AG9" t="s">
        <v>83</v>
      </c>
      <c r="AO9" s="11">
        <v>1510</v>
      </c>
      <c r="AP9" t="s">
        <v>198</v>
      </c>
      <c r="AU9" s="11">
        <v>1403</v>
      </c>
      <c r="AV9" t="s">
        <v>139</v>
      </c>
      <c r="AX9" s="11"/>
      <c r="AY9" s="25"/>
      <c r="BA9" s="11"/>
    </row>
    <row r="10" spans="1:63" x14ac:dyDescent="0.25">
      <c r="B10" t="s">
        <v>59</v>
      </c>
      <c r="C10" s="11">
        <v>118</v>
      </c>
      <c r="D10" t="s">
        <v>102</v>
      </c>
      <c r="E10" t="s">
        <v>108</v>
      </c>
      <c r="F10" t="s">
        <v>106</v>
      </c>
      <c r="N10">
        <v>1550</v>
      </c>
      <c r="O10" t="s">
        <v>236</v>
      </c>
      <c r="W10" s="11">
        <v>1442</v>
      </c>
      <c r="X10" t="s">
        <v>160</v>
      </c>
      <c r="Z10" s="23">
        <v>434</v>
      </c>
      <c r="AA10" t="s">
        <v>66</v>
      </c>
      <c r="AC10" s="11">
        <v>1530</v>
      </c>
      <c r="AD10" t="s">
        <v>219</v>
      </c>
      <c r="AF10" s="11">
        <v>1521</v>
      </c>
      <c r="AG10" t="s">
        <v>204</v>
      </c>
      <c r="AU10" s="11">
        <v>1469</v>
      </c>
      <c r="AV10" t="s">
        <v>170</v>
      </c>
      <c r="AX10" s="11"/>
      <c r="BA10" s="11"/>
    </row>
    <row r="11" spans="1:63" x14ac:dyDescent="0.25">
      <c r="B11" t="s">
        <v>100</v>
      </c>
      <c r="C11" s="11">
        <v>975</v>
      </c>
      <c r="D11" t="s">
        <v>179</v>
      </c>
      <c r="E11" t="s">
        <v>179</v>
      </c>
      <c r="F11" t="s">
        <v>133</v>
      </c>
      <c r="W11" s="11">
        <v>1500</v>
      </c>
      <c r="X11" t="s">
        <v>186</v>
      </c>
      <c r="Z11" s="23">
        <v>1542</v>
      </c>
      <c r="AA11" t="s">
        <v>221</v>
      </c>
      <c r="AC11" s="11">
        <v>1516</v>
      </c>
      <c r="AD11" t="s">
        <v>200</v>
      </c>
      <c r="AF11" s="11">
        <v>1504</v>
      </c>
      <c r="AG11" t="s">
        <v>190</v>
      </c>
      <c r="AU11" s="11">
        <v>1009</v>
      </c>
      <c r="AV11" t="s">
        <v>126</v>
      </c>
      <c r="AX11" s="11"/>
    </row>
    <row r="12" spans="1:63" x14ac:dyDescent="0.25">
      <c r="B12" t="s">
        <v>48</v>
      </c>
      <c r="C12" s="11">
        <v>1299</v>
      </c>
      <c r="D12" t="s">
        <v>111</v>
      </c>
      <c r="E12" t="s">
        <v>33</v>
      </c>
      <c r="F12" t="s">
        <v>27</v>
      </c>
      <c r="W12" s="11">
        <v>1518</v>
      </c>
      <c r="X12" t="s">
        <v>201</v>
      </c>
      <c r="Z12" s="23">
        <v>1497</v>
      </c>
      <c r="AA12" t="s">
        <v>187</v>
      </c>
      <c r="AC12" s="11">
        <v>405</v>
      </c>
      <c r="AD12" t="s">
        <v>74</v>
      </c>
      <c r="AF12" s="11">
        <v>1127</v>
      </c>
      <c r="AG12" t="s">
        <v>87</v>
      </c>
      <c r="AU12" s="11">
        <v>1418</v>
      </c>
      <c r="AV12" t="s">
        <v>141</v>
      </c>
      <c r="BG12" s="11"/>
    </row>
    <row r="13" spans="1:63" x14ac:dyDescent="0.25">
      <c r="B13" t="s">
        <v>67</v>
      </c>
      <c r="C13" s="11">
        <v>478</v>
      </c>
      <c r="D13" t="s">
        <v>113</v>
      </c>
      <c r="E13" t="s">
        <v>34</v>
      </c>
      <c r="F13" t="s">
        <v>26</v>
      </c>
      <c r="W13" s="11">
        <v>879</v>
      </c>
      <c r="X13" t="s">
        <v>61</v>
      </c>
      <c r="Z13" s="23">
        <v>303</v>
      </c>
      <c r="AA13" t="s">
        <v>65</v>
      </c>
      <c r="AC13" s="11">
        <v>1376</v>
      </c>
      <c r="AD13" t="s">
        <v>79</v>
      </c>
      <c r="AF13" s="11">
        <v>1536</v>
      </c>
      <c r="AG13" t="s">
        <v>216</v>
      </c>
      <c r="AU13" s="11">
        <v>37</v>
      </c>
      <c r="AV13" t="s">
        <v>118</v>
      </c>
    </row>
    <row r="14" spans="1:63" x14ac:dyDescent="0.25">
      <c r="B14" t="s">
        <v>106</v>
      </c>
      <c r="C14" s="11">
        <v>8</v>
      </c>
      <c r="D14" t="s">
        <v>107</v>
      </c>
      <c r="E14" t="s">
        <v>49</v>
      </c>
      <c r="F14" t="s">
        <v>55</v>
      </c>
      <c r="W14" s="11">
        <v>1546</v>
      </c>
      <c r="X14" t="s">
        <v>232</v>
      </c>
      <c r="Z14" s="23">
        <v>1525</v>
      </c>
      <c r="AA14" t="s">
        <v>207</v>
      </c>
      <c r="AC14" s="11">
        <v>1340</v>
      </c>
      <c r="AD14" t="s">
        <v>77</v>
      </c>
      <c r="AF14" s="11">
        <v>1545</v>
      </c>
      <c r="AG14" t="s">
        <v>231</v>
      </c>
      <c r="AU14" s="11">
        <v>1429</v>
      </c>
      <c r="AV14" t="s">
        <v>154</v>
      </c>
    </row>
    <row r="15" spans="1:63" x14ac:dyDescent="0.25">
      <c r="B15" t="s">
        <v>213</v>
      </c>
      <c r="C15" s="11">
        <v>1537</v>
      </c>
      <c r="D15" t="s">
        <v>144</v>
      </c>
      <c r="E15" t="s">
        <v>143</v>
      </c>
      <c r="F15" t="s">
        <v>142</v>
      </c>
      <c r="Z15" s="23">
        <v>1535</v>
      </c>
      <c r="AA15" t="s">
        <v>222</v>
      </c>
      <c r="AC15" s="11">
        <v>1539</v>
      </c>
      <c r="AD15" t="s">
        <v>220</v>
      </c>
      <c r="AF15" s="11">
        <v>1047</v>
      </c>
      <c r="AG15" t="s">
        <v>86</v>
      </c>
      <c r="AU15" s="11">
        <v>1462</v>
      </c>
      <c r="AV15" t="s">
        <v>168</v>
      </c>
    </row>
    <row r="16" spans="1:63" x14ac:dyDescent="0.25">
      <c r="B16" t="s">
        <v>129</v>
      </c>
      <c r="C16" s="11">
        <v>1040</v>
      </c>
      <c r="D16" t="s">
        <v>146</v>
      </c>
      <c r="E16" t="s">
        <v>145</v>
      </c>
      <c r="F16" t="s">
        <v>133</v>
      </c>
      <c r="AC16" s="11">
        <v>1476</v>
      </c>
      <c r="AD16" t="s">
        <v>172</v>
      </c>
      <c r="AF16" s="11">
        <v>1317</v>
      </c>
      <c r="AG16" t="s">
        <v>92</v>
      </c>
      <c r="AU16" s="11">
        <v>1391</v>
      </c>
      <c r="AV16" t="s">
        <v>138</v>
      </c>
    </row>
    <row r="17" spans="2:59" x14ac:dyDescent="0.25">
      <c r="B17" t="s">
        <v>161</v>
      </c>
      <c r="C17" s="11">
        <v>1443</v>
      </c>
      <c r="D17" t="s">
        <v>183</v>
      </c>
      <c r="E17" t="s">
        <v>182</v>
      </c>
      <c r="F17" t="s">
        <v>176</v>
      </c>
      <c r="AC17" s="11">
        <v>1333</v>
      </c>
      <c r="AD17" t="s">
        <v>189</v>
      </c>
      <c r="AF17" s="11">
        <v>1481</v>
      </c>
      <c r="AG17" t="s">
        <v>175</v>
      </c>
      <c r="AU17" s="11">
        <v>1495</v>
      </c>
      <c r="AV17" t="s">
        <v>181</v>
      </c>
    </row>
    <row r="18" spans="2:59" x14ac:dyDescent="0.25">
      <c r="B18" t="s">
        <v>78</v>
      </c>
      <c r="C18" s="11">
        <v>1375</v>
      </c>
      <c r="D18" t="s">
        <v>148</v>
      </c>
      <c r="E18" t="s">
        <v>147</v>
      </c>
      <c r="F18" t="s">
        <v>188</v>
      </c>
      <c r="AF18" s="11">
        <v>52</v>
      </c>
      <c r="AG18" t="s">
        <v>18</v>
      </c>
      <c r="AU18" s="11">
        <v>228</v>
      </c>
      <c r="AV18" t="s">
        <v>119</v>
      </c>
    </row>
    <row r="19" spans="2:59" x14ac:dyDescent="0.25">
      <c r="B19" t="s">
        <v>131</v>
      </c>
      <c r="C19" s="11">
        <v>1114</v>
      </c>
      <c r="D19" t="s">
        <v>157</v>
      </c>
      <c r="E19" s="25" t="s">
        <v>156</v>
      </c>
      <c r="F19" t="s">
        <v>120</v>
      </c>
      <c r="AF19" s="11">
        <v>1316</v>
      </c>
      <c r="AG19" t="s">
        <v>91</v>
      </c>
      <c r="AO19" s="11"/>
      <c r="AU19" s="11">
        <v>1406</v>
      </c>
      <c r="AV19" t="s">
        <v>140</v>
      </c>
    </row>
    <row r="20" spans="2:59" x14ac:dyDescent="0.25">
      <c r="B20" t="s">
        <v>94</v>
      </c>
      <c r="C20" s="11">
        <v>1379</v>
      </c>
      <c r="AF20" s="11">
        <v>593</v>
      </c>
      <c r="AG20" t="s">
        <v>81</v>
      </c>
      <c r="AU20" s="11">
        <v>1256</v>
      </c>
      <c r="AV20" t="s">
        <v>134</v>
      </c>
      <c r="BG20" s="11"/>
    </row>
    <row r="21" spans="2:59" x14ac:dyDescent="0.25">
      <c r="B21" t="s">
        <v>177</v>
      </c>
      <c r="C21" s="11">
        <v>1490</v>
      </c>
      <c r="AC21" s="11"/>
      <c r="AF21" s="11">
        <v>1245</v>
      </c>
      <c r="AG21" t="s">
        <v>90</v>
      </c>
      <c r="AU21" s="11">
        <v>1472</v>
      </c>
      <c r="AV21" t="s">
        <v>171</v>
      </c>
      <c r="BG21" s="11"/>
    </row>
    <row r="22" spans="2:59" x14ac:dyDescent="0.25">
      <c r="B22" t="s">
        <v>27</v>
      </c>
      <c r="C22" s="11">
        <v>6</v>
      </c>
      <c r="Z22" s="11"/>
      <c r="AF22" s="11">
        <v>776</v>
      </c>
      <c r="AG22" t="s">
        <v>82</v>
      </c>
      <c r="AU22" s="11">
        <v>1494</v>
      </c>
      <c r="AV22" t="s">
        <v>180</v>
      </c>
      <c r="BG22" s="11"/>
    </row>
    <row r="23" spans="2:59" x14ac:dyDescent="0.25">
      <c r="B23" t="s">
        <v>212</v>
      </c>
      <c r="C23" s="11">
        <v>1533</v>
      </c>
      <c r="AF23" s="11">
        <v>1015</v>
      </c>
      <c r="AG23" t="s">
        <v>127</v>
      </c>
      <c r="AU23" s="11">
        <v>1506</v>
      </c>
      <c r="AV23" t="s">
        <v>193</v>
      </c>
    </row>
    <row r="24" spans="2:59" x14ac:dyDescent="0.25">
      <c r="B24" t="s">
        <v>62</v>
      </c>
      <c r="C24" s="11">
        <v>1018</v>
      </c>
      <c r="AF24" s="11">
        <v>1438</v>
      </c>
      <c r="AG24" t="s">
        <v>159</v>
      </c>
      <c r="BG24" s="11"/>
    </row>
    <row r="25" spans="2:59" x14ac:dyDescent="0.25">
      <c r="B25" t="s">
        <v>234</v>
      </c>
      <c r="C25" s="11">
        <v>1551</v>
      </c>
      <c r="AF25" s="11">
        <v>1407</v>
      </c>
      <c r="AG25" t="s">
        <v>95</v>
      </c>
      <c r="BG25" s="11"/>
    </row>
    <row r="26" spans="2:59" x14ac:dyDescent="0.25">
      <c r="B26" t="s">
        <v>125</v>
      </c>
      <c r="C26" s="11">
        <v>1001</v>
      </c>
      <c r="AF26" s="11">
        <v>748</v>
      </c>
      <c r="AG26" t="s">
        <v>122</v>
      </c>
      <c r="AU26" s="11"/>
      <c r="BG26" s="11"/>
    </row>
    <row r="27" spans="2:59" x14ac:dyDescent="0.25">
      <c r="B27" t="s">
        <v>164</v>
      </c>
      <c r="C27" s="11">
        <v>1446</v>
      </c>
      <c r="AF27" s="11">
        <v>1201</v>
      </c>
      <c r="AG27" t="s">
        <v>89</v>
      </c>
      <c r="AO27" s="11"/>
    </row>
    <row r="28" spans="2:59" x14ac:dyDescent="0.25">
      <c r="B28" t="s">
        <v>237</v>
      </c>
      <c r="C28" s="11">
        <v>1548</v>
      </c>
      <c r="AF28" s="11">
        <v>935</v>
      </c>
      <c r="AG28" t="s">
        <v>124</v>
      </c>
      <c r="AO28" s="11"/>
    </row>
    <row r="29" spans="2:59" x14ac:dyDescent="0.25">
      <c r="B29" t="s">
        <v>75</v>
      </c>
      <c r="C29" s="11">
        <v>1161</v>
      </c>
      <c r="AF29" s="11">
        <v>479</v>
      </c>
      <c r="AG29" t="s">
        <v>121</v>
      </c>
    </row>
    <row r="30" spans="2:59" x14ac:dyDescent="0.25">
      <c r="B30" t="s">
        <v>123</v>
      </c>
      <c r="C30" s="11">
        <v>863</v>
      </c>
      <c r="H30" t="s">
        <v>110</v>
      </c>
      <c r="Z30" s="26"/>
      <c r="AA30" s="26"/>
      <c r="AF30" s="11">
        <v>1458</v>
      </c>
      <c r="AG30" t="s">
        <v>167</v>
      </c>
    </row>
    <row r="31" spans="2:59" x14ac:dyDescent="0.25">
      <c r="B31" t="s">
        <v>202</v>
      </c>
      <c r="C31" s="11">
        <v>1519</v>
      </c>
      <c r="Z31" s="26"/>
      <c r="AA31" s="26"/>
      <c r="AF31" s="11">
        <v>1183</v>
      </c>
      <c r="AG31" t="s">
        <v>88</v>
      </c>
    </row>
    <row r="32" spans="2:59" x14ac:dyDescent="0.25">
      <c r="B32" t="s">
        <v>133</v>
      </c>
      <c r="C32" s="11">
        <v>1134</v>
      </c>
      <c r="Z32" s="26"/>
      <c r="AA32" s="26"/>
      <c r="AF32" s="11">
        <v>1529</v>
      </c>
      <c r="AG32" t="s">
        <v>209</v>
      </c>
    </row>
    <row r="33" spans="2:27" x14ac:dyDescent="0.25">
      <c r="B33" t="s">
        <v>208</v>
      </c>
      <c r="C33" s="11">
        <v>1528</v>
      </c>
      <c r="Z33" s="26"/>
      <c r="AA33" s="26"/>
    </row>
    <row r="34" spans="2:27" x14ac:dyDescent="0.25">
      <c r="B34" t="s">
        <v>178</v>
      </c>
      <c r="C34" s="11">
        <v>1491</v>
      </c>
    </row>
    <row r="35" spans="2:27" x14ac:dyDescent="0.25">
      <c r="B35" t="s">
        <v>58</v>
      </c>
      <c r="C35" s="11">
        <v>5</v>
      </c>
    </row>
    <row r="36" spans="2:27" x14ac:dyDescent="0.25">
      <c r="B36" t="s">
        <v>188</v>
      </c>
      <c r="C36" s="11">
        <v>1498</v>
      </c>
    </row>
    <row r="37" spans="2:27" x14ac:dyDescent="0.25">
      <c r="B37" t="s">
        <v>184</v>
      </c>
      <c r="C37" s="11">
        <v>1499</v>
      </c>
    </row>
    <row r="38" spans="2:27" x14ac:dyDescent="0.25">
      <c r="B38" t="s">
        <v>192</v>
      </c>
      <c r="C38" s="11">
        <v>1505</v>
      </c>
    </row>
    <row r="39" spans="2:27" x14ac:dyDescent="0.25">
      <c r="B39" t="s">
        <v>50</v>
      </c>
      <c r="C39" s="11">
        <v>1187</v>
      </c>
    </row>
    <row r="40" spans="2:27" x14ac:dyDescent="0.25">
      <c r="B40" t="s">
        <v>72</v>
      </c>
      <c r="C40" s="11">
        <v>1315</v>
      </c>
    </row>
    <row r="41" spans="2:27" x14ac:dyDescent="0.25">
      <c r="B41" t="s">
        <v>142</v>
      </c>
      <c r="C41" s="11">
        <v>9</v>
      </c>
      <c r="G41" s="27"/>
      <c r="H41" s="27"/>
      <c r="I41" s="27"/>
    </row>
    <row r="42" spans="2:27" x14ac:dyDescent="0.25">
      <c r="B42" t="s">
        <v>214</v>
      </c>
      <c r="C42" s="11">
        <v>1543</v>
      </c>
      <c r="G42" s="27"/>
      <c r="H42" s="27"/>
      <c r="I42" s="27"/>
    </row>
    <row r="43" spans="2:27" x14ac:dyDescent="0.25">
      <c r="B43" t="s">
        <v>136</v>
      </c>
      <c r="C43" s="11">
        <v>1353</v>
      </c>
      <c r="G43" s="27"/>
      <c r="H43" s="27"/>
      <c r="I43" s="27"/>
    </row>
    <row r="44" spans="2:27" x14ac:dyDescent="0.25">
      <c r="B44" t="s">
        <v>45</v>
      </c>
      <c r="C44" s="11">
        <v>871</v>
      </c>
      <c r="D44" s="11"/>
    </row>
    <row r="45" spans="2:27" x14ac:dyDescent="0.25">
      <c r="B45" t="s">
        <v>71</v>
      </c>
      <c r="C45" s="11">
        <v>1309</v>
      </c>
      <c r="G45" s="27"/>
      <c r="H45" s="27"/>
      <c r="I45" s="27"/>
    </row>
    <row r="46" spans="2:27" x14ac:dyDescent="0.25">
      <c r="B46" t="s">
        <v>199</v>
      </c>
      <c r="C46" s="11">
        <v>1515</v>
      </c>
      <c r="D46" s="11"/>
    </row>
    <row r="47" spans="2:27" x14ac:dyDescent="0.25">
      <c r="B47" t="s">
        <v>153</v>
      </c>
      <c r="C47" s="11">
        <v>1427</v>
      </c>
      <c r="D47" s="11"/>
    </row>
    <row r="48" spans="2:27" x14ac:dyDescent="0.25">
      <c r="B48" t="s">
        <v>84</v>
      </c>
      <c r="C48" s="11">
        <v>942</v>
      </c>
      <c r="D48" s="11"/>
    </row>
    <row r="49" spans="2:4" x14ac:dyDescent="0.25">
      <c r="B49" t="s">
        <v>41</v>
      </c>
      <c r="C49" s="11">
        <v>566</v>
      </c>
      <c r="D49" s="11"/>
    </row>
    <row r="50" spans="2:4" x14ac:dyDescent="0.25">
      <c r="B50" t="s">
        <v>176</v>
      </c>
      <c r="C50" s="11">
        <v>1488</v>
      </c>
      <c r="D50" s="11"/>
    </row>
    <row r="51" spans="2:4" x14ac:dyDescent="0.25">
      <c r="B51" t="s">
        <v>197</v>
      </c>
      <c r="C51" s="11">
        <v>1513</v>
      </c>
      <c r="D51" s="11"/>
    </row>
    <row r="52" spans="2:4" x14ac:dyDescent="0.25">
      <c r="B52" t="s">
        <v>70</v>
      </c>
      <c r="C52" s="11">
        <v>1300</v>
      </c>
      <c r="D52" s="11"/>
    </row>
    <row r="53" spans="2:4" x14ac:dyDescent="0.25">
      <c r="B53" t="s">
        <v>26</v>
      </c>
      <c r="C53" s="11">
        <v>4</v>
      </c>
      <c r="D53" s="11"/>
    </row>
    <row r="54" spans="2:4" x14ac:dyDescent="0.25">
      <c r="B54" t="s">
        <v>130</v>
      </c>
      <c r="C54" s="11">
        <v>1052</v>
      </c>
      <c r="D54" s="11"/>
    </row>
    <row r="55" spans="2:4" x14ac:dyDescent="0.25">
      <c r="B55" t="s">
        <v>69</v>
      </c>
      <c r="C55" s="11">
        <v>1268</v>
      </c>
      <c r="D55" s="11"/>
    </row>
    <row r="56" spans="2:4" x14ac:dyDescent="0.25">
      <c r="B56" t="s">
        <v>64</v>
      </c>
      <c r="C56" s="11">
        <v>1080</v>
      </c>
      <c r="D56" s="11"/>
    </row>
    <row r="57" spans="2:4" x14ac:dyDescent="0.25">
      <c r="B57" t="s">
        <v>85</v>
      </c>
      <c r="C57" s="11">
        <v>1002</v>
      </c>
      <c r="D57" s="11"/>
    </row>
    <row r="58" spans="2:4" x14ac:dyDescent="0.25">
      <c r="B58" t="s">
        <v>68</v>
      </c>
      <c r="C58" s="11">
        <v>606</v>
      </c>
      <c r="D58" s="11"/>
    </row>
    <row r="59" spans="2:4" x14ac:dyDescent="0.25">
      <c r="B59" t="s">
        <v>135</v>
      </c>
      <c r="C59" s="11">
        <v>1312</v>
      </c>
      <c r="D59" s="11"/>
    </row>
    <row r="60" spans="2:4" x14ac:dyDescent="0.25">
      <c r="B60" t="s">
        <v>128</v>
      </c>
      <c r="C60" s="11">
        <v>1027</v>
      </c>
      <c r="D60" s="11"/>
    </row>
    <row r="61" spans="2:4" x14ac:dyDescent="0.25">
      <c r="B61" t="s">
        <v>104</v>
      </c>
      <c r="C61" s="11">
        <v>1331</v>
      </c>
      <c r="D61" s="11"/>
    </row>
    <row r="62" spans="2:4" x14ac:dyDescent="0.25">
      <c r="B62" t="s">
        <v>83</v>
      </c>
      <c r="C62" s="11">
        <v>941</v>
      </c>
      <c r="D62" s="11"/>
    </row>
    <row r="63" spans="2:4" x14ac:dyDescent="0.25">
      <c r="B63" t="s">
        <v>204</v>
      </c>
      <c r="C63" s="11">
        <v>1521</v>
      </c>
      <c r="D63" s="11"/>
    </row>
    <row r="64" spans="2:4" x14ac:dyDescent="0.25">
      <c r="B64" t="s">
        <v>190</v>
      </c>
      <c r="C64" s="11">
        <v>1504</v>
      </c>
      <c r="D64" s="11"/>
    </row>
    <row r="65" spans="2:32" x14ac:dyDescent="0.25">
      <c r="B65" t="s">
        <v>235</v>
      </c>
      <c r="C65" s="11">
        <v>1549</v>
      </c>
      <c r="D65" s="11"/>
    </row>
    <row r="66" spans="2:32" x14ac:dyDescent="0.25">
      <c r="B66" t="s">
        <v>215</v>
      </c>
      <c r="C66" s="11">
        <v>1534</v>
      </c>
      <c r="D66" s="11"/>
    </row>
    <row r="67" spans="2:32" x14ac:dyDescent="0.25">
      <c r="B67" t="s">
        <v>194</v>
      </c>
      <c r="C67" s="11">
        <v>1507</v>
      </c>
      <c r="D67" s="11"/>
    </row>
    <row r="68" spans="2:32" x14ac:dyDescent="0.25">
      <c r="B68" t="s">
        <v>233</v>
      </c>
      <c r="C68" s="11">
        <v>1544</v>
      </c>
      <c r="D68" s="11"/>
    </row>
    <row r="69" spans="2:32" x14ac:dyDescent="0.25">
      <c r="B69" t="s">
        <v>60</v>
      </c>
      <c r="C69" s="11">
        <v>121</v>
      </c>
      <c r="D69" s="28"/>
      <c r="E69" s="27"/>
    </row>
    <row r="70" spans="2:32" x14ac:dyDescent="0.25">
      <c r="B70" t="s">
        <v>139</v>
      </c>
      <c r="C70" s="11">
        <v>1403</v>
      </c>
    </row>
    <row r="71" spans="2:32" x14ac:dyDescent="0.25">
      <c r="B71" t="s">
        <v>170</v>
      </c>
      <c r="C71" s="11">
        <v>1469</v>
      </c>
    </row>
    <row r="72" spans="2:32" x14ac:dyDescent="0.25">
      <c r="B72" t="s">
        <v>126</v>
      </c>
      <c r="C72" s="11">
        <v>1009</v>
      </c>
    </row>
    <row r="73" spans="2:32" x14ac:dyDescent="0.25">
      <c r="B73" t="s">
        <v>141</v>
      </c>
      <c r="C73" s="11">
        <v>1418</v>
      </c>
      <c r="AF73" s="11"/>
    </row>
    <row r="74" spans="2:32" x14ac:dyDescent="0.25">
      <c r="B74" t="s">
        <v>118</v>
      </c>
      <c r="C74" s="11">
        <v>37</v>
      </c>
      <c r="AF74" s="11"/>
    </row>
    <row r="75" spans="2:32" x14ac:dyDescent="0.25">
      <c r="B75" t="s">
        <v>87</v>
      </c>
      <c r="C75" s="11">
        <v>1127</v>
      </c>
      <c r="AF75" s="11"/>
    </row>
    <row r="76" spans="2:32" x14ac:dyDescent="0.25">
      <c r="B76" t="s">
        <v>63</v>
      </c>
      <c r="C76" s="11">
        <v>1294</v>
      </c>
      <c r="AF76" s="11"/>
    </row>
    <row r="77" spans="2:32" x14ac:dyDescent="0.25">
      <c r="B77" t="s">
        <v>19</v>
      </c>
      <c r="C77" s="11">
        <v>147</v>
      </c>
      <c r="AF77" s="11"/>
    </row>
    <row r="78" spans="2:32" x14ac:dyDescent="0.25">
      <c r="B78" t="s">
        <v>216</v>
      </c>
      <c r="C78" s="11">
        <v>1536</v>
      </c>
      <c r="AF78" s="11"/>
    </row>
    <row r="79" spans="2:32" x14ac:dyDescent="0.25">
      <c r="B79" t="s">
        <v>38</v>
      </c>
      <c r="C79" s="11">
        <v>18</v>
      </c>
    </row>
    <row r="80" spans="2:32" x14ac:dyDescent="0.25">
      <c r="B80" t="s">
        <v>217</v>
      </c>
      <c r="C80" s="11">
        <v>1538</v>
      </c>
    </row>
    <row r="81" spans="2:9" x14ac:dyDescent="0.25">
      <c r="B81" t="s">
        <v>22</v>
      </c>
      <c r="C81" s="11">
        <v>969</v>
      </c>
    </row>
    <row r="82" spans="2:9" x14ac:dyDescent="0.25">
      <c r="B82" t="s">
        <v>218</v>
      </c>
      <c r="C82" s="11">
        <v>1540</v>
      </c>
    </row>
    <row r="83" spans="2:9" x14ac:dyDescent="0.25">
      <c r="B83" t="s">
        <v>231</v>
      </c>
      <c r="C83" s="11">
        <v>1545</v>
      </c>
    </row>
    <row r="84" spans="2:9" x14ac:dyDescent="0.25">
      <c r="B84" t="s">
        <v>137</v>
      </c>
      <c r="C84" s="11">
        <v>1388</v>
      </c>
    </row>
    <row r="85" spans="2:9" x14ac:dyDescent="0.25">
      <c r="B85" t="s">
        <v>211</v>
      </c>
      <c r="C85" s="11">
        <v>1466</v>
      </c>
    </row>
    <row r="86" spans="2:9" x14ac:dyDescent="0.25">
      <c r="B86" t="s">
        <v>86</v>
      </c>
      <c r="C86" s="11">
        <v>1047</v>
      </c>
    </row>
    <row r="87" spans="2:9" x14ac:dyDescent="0.25">
      <c r="B87" t="s">
        <v>169</v>
      </c>
      <c r="C87" s="11">
        <v>1467</v>
      </c>
    </row>
    <row r="88" spans="2:9" x14ac:dyDescent="0.25">
      <c r="B88" t="s">
        <v>160</v>
      </c>
      <c r="C88" s="11">
        <v>1442</v>
      </c>
      <c r="D88" s="29"/>
      <c r="E88" s="30"/>
      <c r="F88" s="27"/>
      <c r="G88" s="27"/>
      <c r="H88" s="27"/>
      <c r="I88" s="27"/>
    </row>
    <row r="89" spans="2:9" x14ac:dyDescent="0.25">
      <c r="B89" t="s">
        <v>92</v>
      </c>
      <c r="C89" s="11">
        <v>1317</v>
      </c>
      <c r="D89" s="29"/>
      <c r="E89" s="30"/>
    </row>
    <row r="90" spans="2:9" x14ac:dyDescent="0.25">
      <c r="B90" t="s">
        <v>175</v>
      </c>
      <c r="C90" s="11">
        <v>1481</v>
      </c>
      <c r="D90" s="29"/>
      <c r="E90" s="30"/>
    </row>
    <row r="91" spans="2:9" x14ac:dyDescent="0.25">
      <c r="B91" t="s">
        <v>18</v>
      </c>
      <c r="C91" s="11">
        <v>52</v>
      </c>
      <c r="D91" s="29"/>
      <c r="E91" s="30"/>
    </row>
    <row r="92" spans="2:9" x14ac:dyDescent="0.25">
      <c r="B92" t="s">
        <v>154</v>
      </c>
      <c r="C92" s="11">
        <v>1429</v>
      </c>
      <c r="D92" s="29"/>
      <c r="E92" s="30"/>
    </row>
    <row r="93" spans="2:9" x14ac:dyDescent="0.25">
      <c r="B93" t="s">
        <v>166</v>
      </c>
      <c r="C93" s="11">
        <v>1457</v>
      </c>
      <c r="D93" s="29"/>
      <c r="E93" s="30"/>
    </row>
    <row r="94" spans="2:9" x14ac:dyDescent="0.25">
      <c r="B94" t="s">
        <v>91</v>
      </c>
      <c r="C94" s="11">
        <v>1316</v>
      </c>
      <c r="D94" s="29"/>
      <c r="E94" s="30"/>
    </row>
    <row r="95" spans="2:9" x14ac:dyDescent="0.25">
      <c r="B95" t="s">
        <v>25</v>
      </c>
      <c r="C95" s="11">
        <v>1396</v>
      </c>
      <c r="D95" s="29"/>
      <c r="E95" s="30"/>
    </row>
    <row r="96" spans="2:9" x14ac:dyDescent="0.25">
      <c r="B96" t="s">
        <v>80</v>
      </c>
      <c r="C96" s="11">
        <v>1397</v>
      </c>
      <c r="D96" s="29"/>
      <c r="E96" s="30"/>
    </row>
    <row r="97" spans="2:5" x14ac:dyDescent="0.25">
      <c r="B97" t="s">
        <v>81</v>
      </c>
      <c r="C97" s="11">
        <v>593</v>
      </c>
      <c r="D97" s="29"/>
      <c r="E97" s="30"/>
    </row>
    <row r="98" spans="2:5" x14ac:dyDescent="0.25">
      <c r="B98" t="s">
        <v>98</v>
      </c>
      <c r="C98" s="11">
        <v>526</v>
      </c>
      <c r="D98" s="29"/>
      <c r="E98" s="30"/>
    </row>
    <row r="99" spans="2:5" x14ac:dyDescent="0.25">
      <c r="B99" t="s">
        <v>173</v>
      </c>
      <c r="C99" s="11">
        <v>1366</v>
      </c>
      <c r="D99" s="29"/>
      <c r="E99" s="30"/>
    </row>
    <row r="100" spans="2:5" x14ac:dyDescent="0.25">
      <c r="B100" t="s">
        <v>40</v>
      </c>
      <c r="C100" s="11">
        <v>291</v>
      </c>
      <c r="D100" s="29"/>
      <c r="E100" s="30"/>
    </row>
    <row r="101" spans="2:5" x14ac:dyDescent="0.25">
      <c r="B101" t="s">
        <v>219</v>
      </c>
      <c r="C101" s="11">
        <v>1530</v>
      </c>
      <c r="D101" s="29"/>
      <c r="E101" s="30"/>
    </row>
    <row r="102" spans="2:5" x14ac:dyDescent="0.25">
      <c r="B102" t="s">
        <v>168</v>
      </c>
      <c r="C102" s="11">
        <v>1462</v>
      </c>
      <c r="D102" s="29"/>
      <c r="E102" s="30"/>
    </row>
    <row r="103" spans="2:5" x14ac:dyDescent="0.25">
      <c r="B103" t="s">
        <v>90</v>
      </c>
      <c r="C103" s="11">
        <v>1245</v>
      </c>
      <c r="D103" s="29"/>
      <c r="E103" s="30"/>
    </row>
    <row r="104" spans="2:5" x14ac:dyDescent="0.25">
      <c r="B104" t="s">
        <v>196</v>
      </c>
      <c r="C104" s="11">
        <v>1511</v>
      </c>
      <c r="D104" s="29"/>
      <c r="E104" s="30"/>
    </row>
    <row r="105" spans="2:5" x14ac:dyDescent="0.25">
      <c r="B105" t="s">
        <v>66</v>
      </c>
      <c r="C105" s="11">
        <v>434</v>
      </c>
      <c r="D105" s="29"/>
      <c r="E105" s="30"/>
    </row>
    <row r="106" spans="2:5" x14ac:dyDescent="0.25">
      <c r="B106" t="s">
        <v>53</v>
      </c>
      <c r="C106" s="11">
        <v>1354</v>
      </c>
      <c r="D106" s="29"/>
      <c r="E106" s="30"/>
    </row>
    <row r="107" spans="2:5" x14ac:dyDescent="0.25">
      <c r="B107" t="s">
        <v>44</v>
      </c>
      <c r="C107" s="11">
        <v>820</v>
      </c>
      <c r="D107" s="29"/>
      <c r="E107" s="30"/>
    </row>
    <row r="108" spans="2:5" x14ac:dyDescent="0.25">
      <c r="B108" t="s">
        <v>138</v>
      </c>
      <c r="C108" s="11">
        <v>1391</v>
      </c>
      <c r="D108" s="29"/>
      <c r="E108" s="30"/>
    </row>
    <row r="109" spans="2:5" x14ac:dyDescent="0.25">
      <c r="B109" t="s">
        <v>82</v>
      </c>
      <c r="C109" s="11">
        <v>776</v>
      </c>
      <c r="D109" s="29"/>
      <c r="E109" s="30"/>
    </row>
    <row r="110" spans="2:5" x14ac:dyDescent="0.25">
      <c r="B110" t="s">
        <v>43</v>
      </c>
      <c r="C110" s="11">
        <v>711</v>
      </c>
      <c r="D110" s="29"/>
      <c r="E110" s="30"/>
    </row>
    <row r="111" spans="2:5" x14ac:dyDescent="0.25">
      <c r="B111" t="s">
        <v>181</v>
      </c>
      <c r="C111" s="11">
        <v>1495</v>
      </c>
      <c r="D111" s="29"/>
      <c r="E111" s="30"/>
    </row>
    <row r="112" spans="2:5" x14ac:dyDescent="0.25">
      <c r="B112" t="s">
        <v>127</v>
      </c>
      <c r="C112" s="11">
        <v>1015</v>
      </c>
      <c r="D112" s="29"/>
      <c r="E112" s="30"/>
    </row>
    <row r="113" spans="2:5" x14ac:dyDescent="0.25">
      <c r="B113" t="s">
        <v>51</v>
      </c>
      <c r="C113" s="11">
        <v>1264</v>
      </c>
      <c r="D113" s="29"/>
      <c r="E113" s="30"/>
    </row>
    <row r="114" spans="2:5" x14ac:dyDescent="0.25">
      <c r="B114" t="s">
        <v>203</v>
      </c>
      <c r="C114" s="11">
        <v>1522</v>
      </c>
      <c r="D114" s="29"/>
      <c r="E114" s="30"/>
    </row>
    <row r="115" spans="2:5" x14ac:dyDescent="0.25">
      <c r="B115" t="s">
        <v>200</v>
      </c>
      <c r="C115" s="11">
        <v>1516</v>
      </c>
      <c r="D115" s="29"/>
      <c r="E115" s="30"/>
    </row>
    <row r="116" spans="2:5" x14ac:dyDescent="0.25">
      <c r="B116" t="s">
        <v>93</v>
      </c>
      <c r="C116" s="11">
        <v>1349</v>
      </c>
      <c r="D116" s="29"/>
      <c r="E116" s="30"/>
    </row>
    <row r="117" spans="2:5" x14ac:dyDescent="0.25">
      <c r="B117" t="s">
        <v>159</v>
      </c>
      <c r="C117" s="11">
        <v>1438</v>
      </c>
      <c r="D117" s="29"/>
      <c r="E117" s="30"/>
    </row>
    <row r="118" spans="2:5" x14ac:dyDescent="0.25">
      <c r="B118" t="s">
        <v>17</v>
      </c>
      <c r="C118" s="11">
        <v>35</v>
      </c>
      <c r="D118" s="29"/>
      <c r="E118" s="30"/>
    </row>
    <row r="119" spans="2:5" x14ac:dyDescent="0.25">
      <c r="B119" t="s">
        <v>95</v>
      </c>
      <c r="C119" s="11">
        <v>1407</v>
      </c>
      <c r="D119" s="29"/>
      <c r="E119" s="30"/>
    </row>
    <row r="120" spans="2:5" x14ac:dyDescent="0.25">
      <c r="B120" t="s">
        <v>132</v>
      </c>
      <c r="C120" s="11">
        <v>1129</v>
      </c>
      <c r="D120" s="29"/>
      <c r="E120" s="30"/>
    </row>
    <row r="121" spans="2:5" x14ac:dyDescent="0.25">
      <c r="B121" t="s">
        <v>52</v>
      </c>
      <c r="C121" s="11">
        <v>1327</v>
      </c>
      <c r="D121" s="29"/>
      <c r="E121" s="30"/>
    </row>
    <row r="122" spans="2:5" x14ac:dyDescent="0.25">
      <c r="B122" t="s">
        <v>186</v>
      </c>
      <c r="C122" s="11">
        <v>1500</v>
      </c>
      <c r="D122" s="29"/>
      <c r="E122" s="30"/>
    </row>
    <row r="123" spans="2:5" x14ac:dyDescent="0.25">
      <c r="B123" t="s">
        <v>24</v>
      </c>
      <c r="C123" s="11">
        <v>1371</v>
      </c>
      <c r="D123" s="29"/>
      <c r="E123" s="30"/>
    </row>
    <row r="124" spans="2:5" x14ac:dyDescent="0.25">
      <c r="B124" t="s">
        <v>119</v>
      </c>
      <c r="C124" s="11">
        <v>228</v>
      </c>
      <c r="D124" s="29"/>
      <c r="E124" s="30"/>
    </row>
    <row r="125" spans="2:5" x14ac:dyDescent="0.25">
      <c r="B125" t="s">
        <v>122</v>
      </c>
      <c r="C125" s="11">
        <v>748</v>
      </c>
      <c r="D125" s="29"/>
      <c r="E125" s="30"/>
    </row>
    <row r="126" spans="2:5" x14ac:dyDescent="0.25">
      <c r="B126" t="s">
        <v>120</v>
      </c>
      <c r="C126" s="11">
        <v>411</v>
      </c>
      <c r="D126" s="29"/>
      <c r="E126" s="30"/>
    </row>
    <row r="127" spans="2:5" x14ac:dyDescent="0.25">
      <c r="B127" t="s">
        <v>236</v>
      </c>
      <c r="C127" s="11">
        <v>1550</v>
      </c>
      <c r="D127" s="29"/>
      <c r="E127" s="30"/>
    </row>
    <row r="128" spans="2:5" x14ac:dyDescent="0.25">
      <c r="B128" t="s">
        <v>74</v>
      </c>
      <c r="C128" s="11">
        <v>405</v>
      </c>
      <c r="D128" s="29"/>
      <c r="E128" s="30"/>
    </row>
    <row r="129" spans="2:5" x14ac:dyDescent="0.25">
      <c r="B129" s="25" t="s">
        <v>165</v>
      </c>
      <c r="C129" s="11">
        <v>1449</v>
      </c>
      <c r="D129" s="29"/>
      <c r="E129" s="30"/>
    </row>
    <row r="130" spans="2:5" x14ac:dyDescent="0.25">
      <c r="B130" t="s">
        <v>79</v>
      </c>
      <c r="C130" s="11">
        <v>1376</v>
      </c>
      <c r="D130" s="29"/>
      <c r="E130" s="30"/>
    </row>
    <row r="131" spans="2:5" x14ac:dyDescent="0.25">
      <c r="B131" t="s">
        <v>77</v>
      </c>
      <c r="C131" s="11">
        <v>1340</v>
      </c>
      <c r="D131" s="29"/>
      <c r="E131" s="30"/>
    </row>
    <row r="132" spans="2:5" x14ac:dyDescent="0.25">
      <c r="B132" t="s">
        <v>99</v>
      </c>
      <c r="C132" s="11">
        <v>639</v>
      </c>
      <c r="D132" s="29"/>
      <c r="E132" s="30"/>
    </row>
    <row r="133" spans="2:5" x14ac:dyDescent="0.25">
      <c r="B133" t="s">
        <v>140</v>
      </c>
      <c r="C133" s="11">
        <v>1406</v>
      </c>
      <c r="D133" s="29"/>
      <c r="E133" s="30"/>
    </row>
    <row r="134" spans="2:5" x14ac:dyDescent="0.25">
      <c r="B134" t="s">
        <v>134</v>
      </c>
      <c r="C134" s="11">
        <v>1256</v>
      </c>
      <c r="D134" s="29"/>
      <c r="E134" s="30"/>
    </row>
    <row r="135" spans="2:5" x14ac:dyDescent="0.25">
      <c r="B135" t="s">
        <v>155</v>
      </c>
      <c r="C135" s="11">
        <v>1428</v>
      </c>
      <c r="D135" s="29"/>
      <c r="E135" s="30"/>
    </row>
    <row r="136" spans="2:5" x14ac:dyDescent="0.25">
      <c r="B136" t="s">
        <v>89</v>
      </c>
      <c r="C136" s="11">
        <v>1201</v>
      </c>
    </row>
    <row r="137" spans="2:5" x14ac:dyDescent="0.25">
      <c r="B137" t="s">
        <v>220</v>
      </c>
      <c r="C137" s="11">
        <v>1539</v>
      </c>
    </row>
    <row r="138" spans="2:5" x14ac:dyDescent="0.25">
      <c r="B138" t="s">
        <v>124</v>
      </c>
      <c r="C138" s="11">
        <v>935</v>
      </c>
    </row>
    <row r="139" spans="2:5" x14ac:dyDescent="0.25">
      <c r="B139" t="s">
        <v>172</v>
      </c>
      <c r="C139" s="11">
        <v>1476</v>
      </c>
    </row>
    <row r="140" spans="2:5" x14ac:dyDescent="0.25">
      <c r="B140" t="s">
        <v>57</v>
      </c>
      <c r="C140" s="11">
        <v>740</v>
      </c>
    </row>
    <row r="141" spans="2:5" x14ac:dyDescent="0.25">
      <c r="B141" t="s">
        <v>198</v>
      </c>
      <c r="C141" s="11">
        <v>1510</v>
      </c>
    </row>
    <row r="142" spans="2:5" x14ac:dyDescent="0.25">
      <c r="B142" t="s">
        <v>201</v>
      </c>
      <c r="C142" s="11">
        <v>1518</v>
      </c>
    </row>
    <row r="143" spans="2:5" x14ac:dyDescent="0.25">
      <c r="B143" t="s">
        <v>221</v>
      </c>
      <c r="C143" s="11">
        <v>1542</v>
      </c>
    </row>
    <row r="144" spans="2:5" x14ac:dyDescent="0.25">
      <c r="B144" t="s">
        <v>103</v>
      </c>
      <c r="C144" s="11">
        <v>1081</v>
      </c>
    </row>
    <row r="145" spans="2:3" x14ac:dyDescent="0.25">
      <c r="B145" t="s">
        <v>187</v>
      </c>
      <c r="C145" s="11">
        <v>1497</v>
      </c>
    </row>
    <row r="146" spans="2:3" x14ac:dyDescent="0.25">
      <c r="B146" t="s">
        <v>65</v>
      </c>
      <c r="C146" s="11">
        <v>303</v>
      </c>
    </row>
    <row r="147" spans="2:3" x14ac:dyDescent="0.25">
      <c r="B147" t="s">
        <v>39</v>
      </c>
      <c r="C147" s="11">
        <v>1383</v>
      </c>
    </row>
    <row r="148" spans="2:3" x14ac:dyDescent="0.25">
      <c r="B148" t="s">
        <v>171</v>
      </c>
      <c r="C148" s="11">
        <v>1472</v>
      </c>
    </row>
    <row r="149" spans="2:3" x14ac:dyDescent="0.25">
      <c r="B149" t="s">
        <v>207</v>
      </c>
      <c r="C149" s="11">
        <v>1525</v>
      </c>
    </row>
    <row r="150" spans="2:3" x14ac:dyDescent="0.25">
      <c r="B150" t="s">
        <v>61</v>
      </c>
      <c r="C150" s="11">
        <v>879</v>
      </c>
    </row>
    <row r="151" spans="2:3" x14ac:dyDescent="0.25">
      <c r="B151" t="s">
        <v>121</v>
      </c>
      <c r="C151" s="11">
        <v>479</v>
      </c>
    </row>
    <row r="152" spans="2:3" x14ac:dyDescent="0.25">
      <c r="B152" t="s">
        <v>105</v>
      </c>
      <c r="C152" s="11">
        <v>1380</v>
      </c>
    </row>
    <row r="153" spans="2:3" x14ac:dyDescent="0.25">
      <c r="B153" t="s">
        <v>54</v>
      </c>
      <c r="C153" s="11">
        <v>1374</v>
      </c>
    </row>
    <row r="154" spans="2:3" x14ac:dyDescent="0.25">
      <c r="B154" t="s">
        <v>189</v>
      </c>
      <c r="C154" s="11">
        <v>1333</v>
      </c>
    </row>
    <row r="155" spans="2:3" x14ac:dyDescent="0.25">
      <c r="B155" t="s">
        <v>101</v>
      </c>
      <c r="C155" s="11">
        <v>1251</v>
      </c>
    </row>
    <row r="156" spans="2:3" x14ac:dyDescent="0.25">
      <c r="B156" t="s">
        <v>21</v>
      </c>
      <c r="C156" s="11">
        <v>909</v>
      </c>
    </row>
    <row r="157" spans="2:3" x14ac:dyDescent="0.25">
      <c r="B157" t="s">
        <v>47</v>
      </c>
      <c r="C157" s="11">
        <v>1164</v>
      </c>
    </row>
    <row r="158" spans="2:3" x14ac:dyDescent="0.25">
      <c r="B158" t="s">
        <v>174</v>
      </c>
      <c r="C158" s="11">
        <v>1479</v>
      </c>
    </row>
    <row r="159" spans="2:3" x14ac:dyDescent="0.25">
      <c r="B159" t="s">
        <v>167</v>
      </c>
      <c r="C159" s="11">
        <v>1458</v>
      </c>
    </row>
    <row r="160" spans="2:3" x14ac:dyDescent="0.25">
      <c r="B160" t="s">
        <v>88</v>
      </c>
      <c r="C160" s="11">
        <v>1183</v>
      </c>
    </row>
    <row r="161" spans="2:3" x14ac:dyDescent="0.25">
      <c r="B161" t="s">
        <v>232</v>
      </c>
      <c r="C161" s="11">
        <v>1546</v>
      </c>
    </row>
    <row r="162" spans="2:3" x14ac:dyDescent="0.25">
      <c r="B162" t="s">
        <v>46</v>
      </c>
      <c r="C162" s="11">
        <v>1003</v>
      </c>
    </row>
    <row r="163" spans="2:3" x14ac:dyDescent="0.25">
      <c r="B163" t="s">
        <v>222</v>
      </c>
      <c r="C163" s="11">
        <v>1535</v>
      </c>
    </row>
    <row r="164" spans="2:3" x14ac:dyDescent="0.25">
      <c r="B164" t="s">
        <v>55</v>
      </c>
      <c r="C164" s="11">
        <v>7</v>
      </c>
    </row>
    <row r="165" spans="2:3" x14ac:dyDescent="0.25">
      <c r="B165" t="s">
        <v>209</v>
      </c>
      <c r="C165" s="11">
        <v>1529</v>
      </c>
    </row>
    <row r="166" spans="2:3" x14ac:dyDescent="0.25">
      <c r="B166" t="s">
        <v>76</v>
      </c>
      <c r="C166" s="11">
        <v>1339</v>
      </c>
    </row>
    <row r="167" spans="2:3" x14ac:dyDescent="0.25">
      <c r="B167" t="s">
        <v>180</v>
      </c>
      <c r="C167" s="11">
        <v>1494</v>
      </c>
    </row>
    <row r="168" spans="2:3" x14ac:dyDescent="0.25">
      <c r="B168" t="s">
        <v>206</v>
      </c>
      <c r="C168" s="11">
        <v>1526</v>
      </c>
    </row>
    <row r="169" spans="2:3" x14ac:dyDescent="0.25">
      <c r="B169" t="s">
        <v>223</v>
      </c>
      <c r="C169" s="11">
        <v>1541</v>
      </c>
    </row>
    <row r="170" spans="2:3" x14ac:dyDescent="0.25">
      <c r="B170" t="s">
        <v>191</v>
      </c>
      <c r="C170" s="11">
        <v>1506</v>
      </c>
    </row>
    <row r="205" spans="3:3" x14ac:dyDescent="0.25">
      <c r="C205" s="11"/>
    </row>
    <row r="223" spans="3:3" x14ac:dyDescent="0.25">
      <c r="C223" s="11"/>
    </row>
    <row r="234" spans="3:3" x14ac:dyDescent="0.25">
      <c r="C234" s="11"/>
    </row>
    <row r="235" spans="3:3" x14ac:dyDescent="0.25">
      <c r="C235" s="11"/>
    </row>
    <row r="236" spans="3:3" x14ac:dyDescent="0.25">
      <c r="C236" s="11"/>
    </row>
  </sheetData>
  <sortState xmlns:xlrd2="http://schemas.microsoft.com/office/spreadsheetml/2017/richdata2" ref="AC2:AD17">
    <sortCondition ref="AD2:AD17"/>
  </sortState>
  <mergeCells count="20">
    <mergeCell ref="T1:U1"/>
    <mergeCell ref="W1:X1"/>
    <mergeCell ref="AO1:AP1"/>
    <mergeCell ref="A1:B1"/>
    <mergeCell ref="H1:I1"/>
    <mergeCell ref="K1:L1"/>
    <mergeCell ref="N1:O1"/>
    <mergeCell ref="Q1:R1"/>
    <mergeCell ref="D1:F1"/>
    <mergeCell ref="Z1:AA1"/>
    <mergeCell ref="AC1:AD1"/>
    <mergeCell ref="AF1:AG1"/>
    <mergeCell ref="AI1:AJ1"/>
    <mergeCell ref="BG1:BH1"/>
    <mergeCell ref="BA1:BB1"/>
    <mergeCell ref="AX1:AY1"/>
    <mergeCell ref="AL1:AM1"/>
    <mergeCell ref="AR1:AS1"/>
    <mergeCell ref="AU1:AV1"/>
    <mergeCell ref="BD1:BE1"/>
  </mergeCells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E648FF-E3AF-4B05-A097-E7C48C41C4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23</vt:i4>
      </vt:variant>
    </vt:vector>
  </HeadingPairs>
  <TitlesOfParts>
    <vt:vector size="25" baseType="lpstr">
      <vt:lpstr>FEB-MAR_2026</vt:lpstr>
      <vt:lpstr>BD OK</vt:lpstr>
      <vt:lpstr>'FEB-MAR_2026'!Área_de_impresión</vt:lpstr>
      <vt:lpstr>AYF</vt:lpstr>
      <vt:lpstr>CADM</vt:lpstr>
      <vt:lpstr>CAPITAL</vt:lpstr>
      <vt:lpstr>CDC</vt:lpstr>
      <vt:lpstr>CEXTRA</vt:lpstr>
      <vt:lpstr>COMA</vt:lpstr>
      <vt:lpstr>COMB</vt:lpstr>
      <vt:lpstr>CONTABILIDAD</vt:lpstr>
      <vt:lpstr>CONTRALORIA</vt:lpstr>
      <vt:lpstr>CUENTAS</vt:lpstr>
      <vt:lpstr>DEPARTAMENTOS</vt:lpstr>
      <vt:lpstr>DG</vt:lpstr>
      <vt:lpstr>DGA</vt:lpstr>
      <vt:lpstr>INTENDENCIA</vt:lpstr>
      <vt:lpstr>JURÍDICO</vt:lpstr>
      <vt:lpstr>MARK</vt:lpstr>
      <vt:lpstr>NORMATIVIDAD</vt:lpstr>
      <vt:lpstr>'FEB-MAR_2026'!PA</vt:lpstr>
      <vt:lpstr>PA</vt:lpstr>
      <vt:lpstr>'FEB-MAR_2026'!PAA</vt:lpstr>
      <vt:lpstr>SERV</vt:lpstr>
      <vt:lpstr>SISTEMAS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Gonzalez Garcia</dc:creator>
  <cp:lastModifiedBy>Gabriela Monserrat Sanchez Ramirez</cp:lastModifiedBy>
  <cp:lastPrinted>2025-08-27T19:06:05Z</cp:lastPrinted>
  <dcterms:created xsi:type="dcterms:W3CDTF">2023-02-27T17:20:15Z</dcterms:created>
  <dcterms:modified xsi:type="dcterms:W3CDTF">2026-03-09T17:55:45Z</dcterms:modified>
</cp:coreProperties>
</file>